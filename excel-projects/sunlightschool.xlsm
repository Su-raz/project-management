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20" windowHeight="9070"/>
  </bookViews>
  <sheets>
    <sheet name="DASHBOARD" sheetId="12" r:id="rId1"/>
    <sheet name="INPUT" sheetId="8" r:id="rId2"/>
    <sheet name="PROCESSING" sheetId="11" r:id="rId3"/>
    <sheet name="OUTPUT_1" sheetId="7" r:id="rId4"/>
    <sheet name="OUTPUT_2" sheetId="13" r:id="rId5"/>
    <sheet name="Subjects" sheetId="10" state="hidden" r:id="rId6"/>
  </sheets>
  <externalReferences>
    <externalReference r:id="rId7"/>
  </externalReferences>
  <definedNames>
    <definedName name="codesub">Subjects!$B$2:$C$264</definedName>
    <definedName name="GPA">PROCESSING!$AJ$5:$AJ$154</definedName>
    <definedName name="ledger">PROCESSING!$B$2:$AO$154</definedName>
    <definedName name="Name">PROCESSING!$C$5:$C$154</definedName>
    <definedName name="_xlnm.Print_Area" localSheetId="3">OUTPUT_1!$A$1:$L$44</definedName>
    <definedName name="SymbolNo">PROCESSING!$B$5:$B$154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7"/>
  <c r="AO6" i="11" l="1"/>
  <c r="AO7"/>
  <c r="AO8"/>
  <c r="AO9"/>
  <c r="AO10"/>
  <c r="AO12"/>
  <c r="AO13"/>
  <c r="AO14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81"/>
  <c r="AO82"/>
  <c r="AO83"/>
  <c r="AO84"/>
  <c r="AO85"/>
  <c r="AO86"/>
  <c r="AO87"/>
  <c r="AO88"/>
  <c r="AO89"/>
  <c r="AO90"/>
  <c r="AO91"/>
  <c r="AO92"/>
  <c r="AO93"/>
  <c r="AO94"/>
  <c r="AO95"/>
  <c r="AO96"/>
  <c r="AO97"/>
  <c r="AO98"/>
  <c r="AO99"/>
  <c r="AO100"/>
  <c r="AO101"/>
  <c r="AO102"/>
  <c r="AO103"/>
  <c r="AO104"/>
  <c r="AO105"/>
  <c r="AO106"/>
  <c r="AO107"/>
  <c r="AO108"/>
  <c r="AO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5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5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5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5"/>
  <c r="J8"/>
  <c r="J9"/>
  <c r="J10"/>
  <c r="J11"/>
  <c r="J12"/>
  <c r="J13"/>
  <c r="J14"/>
  <c r="J15"/>
  <c r="J16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5"/>
  <c r="K15" i="8" l="1"/>
  <c r="BD6" l="1"/>
  <c r="BD7"/>
  <c r="BD8"/>
  <c r="BD9"/>
  <c r="BD10"/>
  <c r="BD12"/>
  <c r="BD13"/>
  <c r="BD14"/>
  <c r="BD17"/>
  <c r="BD19"/>
  <c r="BD20"/>
  <c r="BD22"/>
  <c r="BD23"/>
  <c r="BD24"/>
  <c r="BD25"/>
  <c r="BD26"/>
  <c r="BD27"/>
  <c r="BD28"/>
  <c r="BD29"/>
  <c r="BD30"/>
  <c r="BD31"/>
  <c r="BD32"/>
  <c r="BD33"/>
  <c r="BD34"/>
  <c r="BD35"/>
  <c r="BD36"/>
  <c r="BD37"/>
  <c r="BD38"/>
  <c r="BD39"/>
  <c r="BD40"/>
  <c r="BD41"/>
  <c r="BD42"/>
  <c r="BD43"/>
  <c r="BD44"/>
  <c r="BD45"/>
  <c r="BD46"/>
  <c r="BD47"/>
  <c r="BD48"/>
  <c r="BD49"/>
  <c r="BD50"/>
  <c r="BD51"/>
  <c r="BD52"/>
  <c r="BD53"/>
  <c r="BD54"/>
  <c r="BD55"/>
  <c r="BD56"/>
  <c r="BD57"/>
  <c r="BD58"/>
  <c r="BD59"/>
  <c r="BD60"/>
  <c r="BD61"/>
  <c r="BD62"/>
  <c r="BD63"/>
  <c r="BD64"/>
  <c r="BD65"/>
  <c r="BD66"/>
  <c r="BD67"/>
  <c r="BD68"/>
  <c r="BD69"/>
  <c r="BD70"/>
  <c r="BD71"/>
  <c r="BD72"/>
  <c r="BD73"/>
  <c r="BD74"/>
  <c r="BD75"/>
  <c r="BD76"/>
  <c r="BD77"/>
  <c r="BD78"/>
  <c r="BD79"/>
  <c r="BD80"/>
  <c r="BD81"/>
  <c r="BD82"/>
  <c r="BD83"/>
  <c r="BD84"/>
  <c r="BD85"/>
  <c r="BD86"/>
  <c r="BD87"/>
  <c r="BD88"/>
  <c r="BD89"/>
  <c r="BD90"/>
  <c r="BD91"/>
  <c r="BD92"/>
  <c r="BD93"/>
  <c r="BD94"/>
  <c r="BD95"/>
  <c r="BD96"/>
  <c r="BD97"/>
  <c r="BD98"/>
  <c r="BD99"/>
  <c r="BD100"/>
  <c r="BD101"/>
  <c r="BD102"/>
  <c r="BD103"/>
  <c r="BD104"/>
  <c r="BD105"/>
  <c r="BD106"/>
  <c r="BD107"/>
  <c r="BD108"/>
  <c r="BD109"/>
  <c r="BD110"/>
  <c r="BD111"/>
  <c r="BD112"/>
  <c r="BD113"/>
  <c r="BD114"/>
  <c r="BD115"/>
  <c r="BD116"/>
  <c r="BD117"/>
  <c r="BD118"/>
  <c r="BD119"/>
  <c r="BD120"/>
  <c r="BD121"/>
  <c r="BD122"/>
  <c r="BD123"/>
  <c r="BD124"/>
  <c r="BD125"/>
  <c r="BD126"/>
  <c r="BD127"/>
  <c r="BD128"/>
  <c r="BD129"/>
  <c r="BD130"/>
  <c r="BD131"/>
  <c r="BD132"/>
  <c r="BD133"/>
  <c r="BD134"/>
  <c r="BD135"/>
  <c r="BD136"/>
  <c r="BD137"/>
  <c r="BD138"/>
  <c r="BD139"/>
  <c r="BD140"/>
  <c r="BD141"/>
  <c r="BD142"/>
  <c r="BD143"/>
  <c r="BD144"/>
  <c r="BD145"/>
  <c r="BD146"/>
  <c r="BD147"/>
  <c r="BD148"/>
  <c r="BD149"/>
  <c r="BD150"/>
  <c r="BD151"/>
  <c r="BD152"/>
  <c r="BD153"/>
  <c r="BD154"/>
  <c r="BC6"/>
  <c r="BC7"/>
  <c r="BC8"/>
  <c r="BC9"/>
  <c r="BC10"/>
  <c r="BC12"/>
  <c r="BC13"/>
  <c r="BC14"/>
  <c r="BC17"/>
  <c r="BC19"/>
  <c r="BC20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BC55"/>
  <c r="BC56"/>
  <c r="BC57"/>
  <c r="BC58"/>
  <c r="BC59"/>
  <c r="BC60"/>
  <c r="BC61"/>
  <c r="BC62"/>
  <c r="BC63"/>
  <c r="BC64"/>
  <c r="BC65"/>
  <c r="BC66"/>
  <c r="BC67"/>
  <c r="BC68"/>
  <c r="BC69"/>
  <c r="BC70"/>
  <c r="BC71"/>
  <c r="BC72"/>
  <c r="BC73"/>
  <c r="BC74"/>
  <c r="BC75"/>
  <c r="BC76"/>
  <c r="BC77"/>
  <c r="BC78"/>
  <c r="BC79"/>
  <c r="BC80"/>
  <c r="BC81"/>
  <c r="BC82"/>
  <c r="BC83"/>
  <c r="BC84"/>
  <c r="BC85"/>
  <c r="BC86"/>
  <c r="BC87"/>
  <c r="BC88"/>
  <c r="BC89"/>
  <c r="BC90"/>
  <c r="BC91"/>
  <c r="BC92"/>
  <c r="BC93"/>
  <c r="BC94"/>
  <c r="BC95"/>
  <c r="BC96"/>
  <c r="BC97"/>
  <c r="BC98"/>
  <c r="BC99"/>
  <c r="BC100"/>
  <c r="BC101"/>
  <c r="BC102"/>
  <c r="BC103"/>
  <c r="BC104"/>
  <c r="BC105"/>
  <c r="BC106"/>
  <c r="BC107"/>
  <c r="BC108"/>
  <c r="BC109"/>
  <c r="BC110"/>
  <c r="BC111"/>
  <c r="BC112"/>
  <c r="BC113"/>
  <c r="BC114"/>
  <c r="BC115"/>
  <c r="BC116"/>
  <c r="BC117"/>
  <c r="BC118"/>
  <c r="BC119"/>
  <c r="BC120"/>
  <c r="BC121"/>
  <c r="BC122"/>
  <c r="BC123"/>
  <c r="BC124"/>
  <c r="BC125"/>
  <c r="BC126"/>
  <c r="BC127"/>
  <c r="BC128"/>
  <c r="BC129"/>
  <c r="BC130"/>
  <c r="BC131"/>
  <c r="BC132"/>
  <c r="BC133"/>
  <c r="BC134"/>
  <c r="BC135"/>
  <c r="BC136"/>
  <c r="BC137"/>
  <c r="BC138"/>
  <c r="BC139"/>
  <c r="BC140"/>
  <c r="BC141"/>
  <c r="BC142"/>
  <c r="BC143"/>
  <c r="BC144"/>
  <c r="BC145"/>
  <c r="BC146"/>
  <c r="BC147"/>
  <c r="BC148"/>
  <c r="BC149"/>
  <c r="BC150"/>
  <c r="BC151"/>
  <c r="BC152"/>
  <c r="BC153"/>
  <c r="BC154"/>
  <c r="AH8"/>
  <c r="AH9"/>
  <c r="AH10"/>
  <c r="AH11"/>
  <c r="AH12"/>
  <c r="AH13"/>
  <c r="AH14"/>
  <c r="AH15"/>
  <c r="AH19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G8"/>
  <c r="AG9"/>
  <c r="AG10"/>
  <c r="AG11"/>
  <c r="AG12"/>
  <c r="AG13"/>
  <c r="AG14"/>
  <c r="AG15"/>
  <c r="AG19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A8"/>
  <c r="AA9"/>
  <c r="AA10"/>
  <c r="AA11"/>
  <c r="AA12"/>
  <c r="AA13"/>
  <c r="AA14"/>
  <c r="AA15"/>
  <c r="AA17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Z8"/>
  <c r="Z9"/>
  <c r="Z10"/>
  <c r="Z11"/>
  <c r="Z12"/>
  <c r="Z13"/>
  <c r="Z14"/>
  <c r="Z15"/>
  <c r="Z17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T14"/>
  <c r="T15"/>
  <c r="T17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S14"/>
  <c r="S15"/>
  <c r="S17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M8"/>
  <c r="M9"/>
  <c r="M10"/>
  <c r="M11"/>
  <c r="M12"/>
  <c r="M13"/>
  <c r="M14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L8"/>
  <c r="L9"/>
  <c r="L10"/>
  <c r="L11"/>
  <c r="L12"/>
  <c r="L13"/>
  <c r="L14"/>
  <c r="L15"/>
  <c r="M15" s="1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AT15" l="1"/>
  <c r="AR15"/>
  <c r="AU15" s="1"/>
  <c r="AM15"/>
  <c r="AK15"/>
  <c r="AN15" s="1"/>
  <c r="AO15" s="1"/>
  <c r="AF15"/>
  <c r="AD15"/>
  <c r="Y15"/>
  <c r="W15"/>
  <c r="R15"/>
  <c r="P15"/>
  <c r="I15"/>
  <c r="AZ15"/>
  <c r="BC15" s="1"/>
  <c r="BB15"/>
  <c r="AI15" i="11" l="1"/>
  <c r="AV15" i="8"/>
  <c r="BD15"/>
  <c r="AO15" i="11"/>
  <c r="AR16" i="8"/>
  <c r="AR17"/>
  <c r="AU17" s="1"/>
  <c r="AR18"/>
  <c r="AR19"/>
  <c r="AU19" s="1"/>
  <c r="AR20"/>
  <c r="AR21"/>
  <c r="AU21" s="1"/>
  <c r="AR22"/>
  <c r="AU22" s="1"/>
  <c r="AR23"/>
  <c r="AU23" s="1"/>
  <c r="AR24"/>
  <c r="AU24" s="1"/>
  <c r="AR25"/>
  <c r="AU25" s="1"/>
  <c r="AR26"/>
  <c r="AU26" s="1"/>
  <c r="AR27"/>
  <c r="AU27" s="1"/>
  <c r="AR28"/>
  <c r="AU28" s="1"/>
  <c r="AR29"/>
  <c r="AU29" s="1"/>
  <c r="AR30"/>
  <c r="AU30" s="1"/>
  <c r="AR31"/>
  <c r="AU31" s="1"/>
  <c r="AR32"/>
  <c r="AU32" s="1"/>
  <c r="AR33"/>
  <c r="AU33" s="1"/>
  <c r="AR34"/>
  <c r="AU34" s="1"/>
  <c r="AR35"/>
  <c r="AU35" s="1"/>
  <c r="AR36"/>
  <c r="AU36" s="1"/>
  <c r="AR37"/>
  <c r="AU37" s="1"/>
  <c r="AR38"/>
  <c r="AU38" s="1"/>
  <c r="AR39"/>
  <c r="AU39" s="1"/>
  <c r="AR40"/>
  <c r="AU40" s="1"/>
  <c r="AR41"/>
  <c r="AU41" s="1"/>
  <c r="AR42"/>
  <c r="AU42" s="1"/>
  <c r="AR43"/>
  <c r="AU43" s="1"/>
  <c r="AR44"/>
  <c r="AU44" s="1"/>
  <c r="AR45"/>
  <c r="AU45" s="1"/>
  <c r="AR46"/>
  <c r="AU46" s="1"/>
  <c r="AR47"/>
  <c r="AU47" s="1"/>
  <c r="AR48"/>
  <c r="AU48" s="1"/>
  <c r="AR49"/>
  <c r="AU49" s="1"/>
  <c r="AR50"/>
  <c r="AU50" s="1"/>
  <c r="AR51"/>
  <c r="AU51" s="1"/>
  <c r="AR52"/>
  <c r="AU52" s="1"/>
  <c r="AR53"/>
  <c r="AU53" s="1"/>
  <c r="AR54"/>
  <c r="AU54" s="1"/>
  <c r="AR55"/>
  <c r="AU55" s="1"/>
  <c r="AR56"/>
  <c r="AU56" s="1"/>
  <c r="AR57"/>
  <c r="AU57" s="1"/>
  <c r="AR58"/>
  <c r="AU58" s="1"/>
  <c r="AR59"/>
  <c r="AU59" s="1"/>
  <c r="AR60"/>
  <c r="AU60" s="1"/>
  <c r="AR61"/>
  <c r="AU61" s="1"/>
  <c r="AR62"/>
  <c r="AU62" s="1"/>
  <c r="AR63"/>
  <c r="AU63" s="1"/>
  <c r="AR64"/>
  <c r="AU64" s="1"/>
  <c r="AR65"/>
  <c r="AU65" s="1"/>
  <c r="AR66"/>
  <c r="AU66" s="1"/>
  <c r="AR67"/>
  <c r="AU67" s="1"/>
  <c r="AR68"/>
  <c r="AU68" s="1"/>
  <c r="AR69"/>
  <c r="AU69" s="1"/>
  <c r="AR70"/>
  <c r="AU70" s="1"/>
  <c r="AR71"/>
  <c r="AU71" s="1"/>
  <c r="AR72"/>
  <c r="AU72" s="1"/>
  <c r="AR73"/>
  <c r="AU73" s="1"/>
  <c r="AR74"/>
  <c r="AU74" s="1"/>
  <c r="AR75"/>
  <c r="AU75" s="1"/>
  <c r="AR76"/>
  <c r="AU76" s="1"/>
  <c r="AR77"/>
  <c r="AU77" s="1"/>
  <c r="AR78"/>
  <c r="AU78" s="1"/>
  <c r="AR79"/>
  <c r="AU79" s="1"/>
  <c r="AR80"/>
  <c r="AU80" s="1"/>
  <c r="AR81"/>
  <c r="AU81" s="1"/>
  <c r="AR82"/>
  <c r="AU82" s="1"/>
  <c r="AR83"/>
  <c r="AU83" s="1"/>
  <c r="AR84"/>
  <c r="AU84" s="1"/>
  <c r="AR85"/>
  <c r="AU85" s="1"/>
  <c r="AR86"/>
  <c r="AU86" s="1"/>
  <c r="AR87"/>
  <c r="AU87" s="1"/>
  <c r="AR88"/>
  <c r="AU88" s="1"/>
  <c r="AR89"/>
  <c r="AU89" s="1"/>
  <c r="AR90"/>
  <c r="AU90" s="1"/>
  <c r="AR91"/>
  <c r="AU91" s="1"/>
  <c r="AR92"/>
  <c r="AU92" s="1"/>
  <c r="AR93"/>
  <c r="AU93" s="1"/>
  <c r="AR94"/>
  <c r="AU94" s="1"/>
  <c r="AR95"/>
  <c r="AU95" s="1"/>
  <c r="AR96"/>
  <c r="AU96" s="1"/>
  <c r="AR97"/>
  <c r="AU97" s="1"/>
  <c r="AR98"/>
  <c r="AU98" s="1"/>
  <c r="AR99"/>
  <c r="AU99" s="1"/>
  <c r="AR100"/>
  <c r="AU100" s="1"/>
  <c r="AR101"/>
  <c r="AU101" s="1"/>
  <c r="AR102"/>
  <c r="AU102" s="1"/>
  <c r="AR103"/>
  <c r="AU103" s="1"/>
  <c r="AR104"/>
  <c r="AU104" s="1"/>
  <c r="AR105"/>
  <c r="AU105" s="1"/>
  <c r="AR106"/>
  <c r="AU106" s="1"/>
  <c r="AR107"/>
  <c r="AU107" s="1"/>
  <c r="AR108"/>
  <c r="AU108" s="1"/>
  <c r="AR109"/>
  <c r="AU109" s="1"/>
  <c r="AR110"/>
  <c r="AU110" s="1"/>
  <c r="AR111"/>
  <c r="AU111" s="1"/>
  <c r="AR112"/>
  <c r="AU112" s="1"/>
  <c r="AR113"/>
  <c r="AU113" s="1"/>
  <c r="AR114"/>
  <c r="AU114" s="1"/>
  <c r="AR115"/>
  <c r="AU115" s="1"/>
  <c r="AR116"/>
  <c r="AU116" s="1"/>
  <c r="AR117"/>
  <c r="AU117" s="1"/>
  <c r="AR118"/>
  <c r="AU118" s="1"/>
  <c r="AR119"/>
  <c r="AU119" s="1"/>
  <c r="AR120"/>
  <c r="AU120" s="1"/>
  <c r="AR121"/>
  <c r="AU121" s="1"/>
  <c r="AR122"/>
  <c r="AU122" s="1"/>
  <c r="AR123"/>
  <c r="AU123" s="1"/>
  <c r="AR124"/>
  <c r="AU124" s="1"/>
  <c r="AR125"/>
  <c r="AU125" s="1"/>
  <c r="AR126"/>
  <c r="AU126" s="1"/>
  <c r="AR127"/>
  <c r="AU127" s="1"/>
  <c r="AR128"/>
  <c r="AU128" s="1"/>
  <c r="AR129"/>
  <c r="AU129" s="1"/>
  <c r="AR130"/>
  <c r="AU130" s="1"/>
  <c r="AR131"/>
  <c r="AU131" s="1"/>
  <c r="AR132"/>
  <c r="AU132" s="1"/>
  <c r="AR133"/>
  <c r="AU133" s="1"/>
  <c r="AR134"/>
  <c r="AU134" s="1"/>
  <c r="AR135"/>
  <c r="AU135" s="1"/>
  <c r="AK16"/>
  <c r="AK17"/>
  <c r="AN17" s="1"/>
  <c r="AO17" s="1"/>
  <c r="AK18"/>
  <c r="AK19"/>
  <c r="AN19" s="1"/>
  <c r="AO19" s="1"/>
  <c r="AK20"/>
  <c r="AK21"/>
  <c r="AN21" s="1"/>
  <c r="AO21" s="1"/>
  <c r="AK22"/>
  <c r="AN22" s="1"/>
  <c r="AO22" s="1"/>
  <c r="AK23"/>
  <c r="AN23" s="1"/>
  <c r="AO23" s="1"/>
  <c r="AK24"/>
  <c r="AN24" s="1"/>
  <c r="AO24" s="1"/>
  <c r="AK25"/>
  <c r="AN25" s="1"/>
  <c r="AO25" s="1"/>
  <c r="AK26"/>
  <c r="AN26" s="1"/>
  <c r="AO26" s="1"/>
  <c r="AK27"/>
  <c r="AN27" s="1"/>
  <c r="AO27" s="1"/>
  <c r="AK28"/>
  <c r="AN28" s="1"/>
  <c r="AO28" s="1"/>
  <c r="AK29"/>
  <c r="AN29" s="1"/>
  <c r="AO29" s="1"/>
  <c r="AK30"/>
  <c r="AN30" s="1"/>
  <c r="AO30" s="1"/>
  <c r="AK31"/>
  <c r="AN31" s="1"/>
  <c r="AO31" s="1"/>
  <c r="AK32"/>
  <c r="AN32" s="1"/>
  <c r="AO32" s="1"/>
  <c r="AK33"/>
  <c r="AN33" s="1"/>
  <c r="AO33" s="1"/>
  <c r="AK34"/>
  <c r="AN34" s="1"/>
  <c r="AO34" s="1"/>
  <c r="AK35"/>
  <c r="AN35" s="1"/>
  <c r="AO35" s="1"/>
  <c r="AK36"/>
  <c r="AN36" s="1"/>
  <c r="AO36" s="1"/>
  <c r="AK37"/>
  <c r="AN37" s="1"/>
  <c r="AO37" s="1"/>
  <c r="AK38"/>
  <c r="AN38" s="1"/>
  <c r="AO38" s="1"/>
  <c r="AK39"/>
  <c r="AN39" s="1"/>
  <c r="AO39" s="1"/>
  <c r="AK40"/>
  <c r="AN40" s="1"/>
  <c r="AO40" s="1"/>
  <c r="AK41"/>
  <c r="AN41" s="1"/>
  <c r="AO41" s="1"/>
  <c r="AK42"/>
  <c r="AN42" s="1"/>
  <c r="AO42" s="1"/>
  <c r="AK43"/>
  <c r="AN43" s="1"/>
  <c r="AO43" s="1"/>
  <c r="AK44"/>
  <c r="AN44" s="1"/>
  <c r="AO44" s="1"/>
  <c r="AK45"/>
  <c r="AN45" s="1"/>
  <c r="AO45" s="1"/>
  <c r="AK46"/>
  <c r="AN46" s="1"/>
  <c r="AO46" s="1"/>
  <c r="AK47"/>
  <c r="AN47" s="1"/>
  <c r="AO47" s="1"/>
  <c r="AK48"/>
  <c r="AN48" s="1"/>
  <c r="AO48" s="1"/>
  <c r="AK49"/>
  <c r="AN49" s="1"/>
  <c r="AO49" s="1"/>
  <c r="AK50"/>
  <c r="AN50" s="1"/>
  <c r="AO50" s="1"/>
  <c r="AK51"/>
  <c r="AN51" s="1"/>
  <c r="AO51" s="1"/>
  <c r="AK52"/>
  <c r="AN52" s="1"/>
  <c r="AO52" s="1"/>
  <c r="AK53"/>
  <c r="AN53" s="1"/>
  <c r="AO53" s="1"/>
  <c r="AK54"/>
  <c r="AN54" s="1"/>
  <c r="AO54" s="1"/>
  <c r="AK55"/>
  <c r="AN55" s="1"/>
  <c r="AO55" s="1"/>
  <c r="AK56"/>
  <c r="AN56" s="1"/>
  <c r="AO56" s="1"/>
  <c r="AK57"/>
  <c r="AN57" s="1"/>
  <c r="AO57" s="1"/>
  <c r="AK58"/>
  <c r="AN58" s="1"/>
  <c r="AO58" s="1"/>
  <c r="AK59"/>
  <c r="AN59" s="1"/>
  <c r="AO59" s="1"/>
  <c r="AK60"/>
  <c r="AN60" s="1"/>
  <c r="AO60" s="1"/>
  <c r="AK61"/>
  <c r="AN61" s="1"/>
  <c r="AO61" s="1"/>
  <c r="AK62"/>
  <c r="AN62" s="1"/>
  <c r="AO62" s="1"/>
  <c r="AK63"/>
  <c r="AN63" s="1"/>
  <c r="AO63" s="1"/>
  <c r="AK64"/>
  <c r="AN64" s="1"/>
  <c r="AO64" s="1"/>
  <c r="AK65"/>
  <c r="AN65" s="1"/>
  <c r="AO65" s="1"/>
  <c r="AK66"/>
  <c r="AN66" s="1"/>
  <c r="AO66" s="1"/>
  <c r="AK67"/>
  <c r="AN67" s="1"/>
  <c r="AO67" s="1"/>
  <c r="AK68"/>
  <c r="AN68" s="1"/>
  <c r="AO68" s="1"/>
  <c r="AK69"/>
  <c r="AN69" s="1"/>
  <c r="AO69" s="1"/>
  <c r="AK70"/>
  <c r="AN70" s="1"/>
  <c r="AO70" s="1"/>
  <c r="AK71"/>
  <c r="AN71" s="1"/>
  <c r="AO71" s="1"/>
  <c r="AK72"/>
  <c r="AN72" s="1"/>
  <c r="AO72" s="1"/>
  <c r="AK73"/>
  <c r="AN73" s="1"/>
  <c r="AO73" s="1"/>
  <c r="AK74"/>
  <c r="AN74" s="1"/>
  <c r="AO74" s="1"/>
  <c r="AK75"/>
  <c r="AN75" s="1"/>
  <c r="AO75" s="1"/>
  <c r="AK76"/>
  <c r="AN76" s="1"/>
  <c r="AO76" s="1"/>
  <c r="AK77"/>
  <c r="AN77" s="1"/>
  <c r="AO77" s="1"/>
  <c r="AK78"/>
  <c r="AN78" s="1"/>
  <c r="AO78" s="1"/>
  <c r="AK79"/>
  <c r="AN79" s="1"/>
  <c r="AO79" s="1"/>
  <c r="AK80"/>
  <c r="AN80" s="1"/>
  <c r="AO80" s="1"/>
  <c r="AK81"/>
  <c r="AN81" s="1"/>
  <c r="AO81" s="1"/>
  <c r="AK82"/>
  <c r="AN82" s="1"/>
  <c r="AO82" s="1"/>
  <c r="AK83"/>
  <c r="AN83" s="1"/>
  <c r="AO83" s="1"/>
  <c r="AK84"/>
  <c r="AN84" s="1"/>
  <c r="AO84" s="1"/>
  <c r="AK85"/>
  <c r="AN85" s="1"/>
  <c r="AO85" s="1"/>
  <c r="AK86"/>
  <c r="AN86" s="1"/>
  <c r="AO86" s="1"/>
  <c r="AK87"/>
  <c r="AN87" s="1"/>
  <c r="AO87" s="1"/>
  <c r="AK88"/>
  <c r="AN88" s="1"/>
  <c r="AO88" s="1"/>
  <c r="AK89"/>
  <c r="AN89" s="1"/>
  <c r="AO89" s="1"/>
  <c r="AK90"/>
  <c r="AN90" s="1"/>
  <c r="AO90" s="1"/>
  <c r="AK91"/>
  <c r="AN91" s="1"/>
  <c r="AO91" s="1"/>
  <c r="AK92"/>
  <c r="AN92" s="1"/>
  <c r="AO92" s="1"/>
  <c r="AK93"/>
  <c r="AN93" s="1"/>
  <c r="AO93" s="1"/>
  <c r="AK94"/>
  <c r="AN94" s="1"/>
  <c r="AO94" s="1"/>
  <c r="AK95"/>
  <c r="AN95" s="1"/>
  <c r="AO95" s="1"/>
  <c r="AK96"/>
  <c r="AN96" s="1"/>
  <c r="AO96" s="1"/>
  <c r="AK97"/>
  <c r="AN97" s="1"/>
  <c r="AO97" s="1"/>
  <c r="AK98"/>
  <c r="AN98" s="1"/>
  <c r="AO98" s="1"/>
  <c r="AK99"/>
  <c r="AN99" s="1"/>
  <c r="AO99" s="1"/>
  <c r="AK100"/>
  <c r="AN100" s="1"/>
  <c r="AO100" s="1"/>
  <c r="AK101"/>
  <c r="AN101" s="1"/>
  <c r="AO101" s="1"/>
  <c r="AK102"/>
  <c r="AN102" s="1"/>
  <c r="AO102" s="1"/>
  <c r="AK103"/>
  <c r="AN103" s="1"/>
  <c r="AO103" s="1"/>
  <c r="AK104"/>
  <c r="AN104" s="1"/>
  <c r="AO104" s="1"/>
  <c r="AK105"/>
  <c r="AN105" s="1"/>
  <c r="AO105" s="1"/>
  <c r="AK106"/>
  <c r="AN106" s="1"/>
  <c r="AO106" s="1"/>
  <c r="AK107"/>
  <c r="AN107" s="1"/>
  <c r="AO107" s="1"/>
  <c r="AK108"/>
  <c r="AN108" s="1"/>
  <c r="AO108" s="1"/>
  <c r="AK109"/>
  <c r="AN109" s="1"/>
  <c r="AO109" s="1"/>
  <c r="AK110"/>
  <c r="AN110" s="1"/>
  <c r="AO110" s="1"/>
  <c r="AK111"/>
  <c r="AN111" s="1"/>
  <c r="AO111" s="1"/>
  <c r="AK112"/>
  <c r="AN112" s="1"/>
  <c r="AO112" s="1"/>
  <c r="AK113"/>
  <c r="AN113" s="1"/>
  <c r="AO113" s="1"/>
  <c r="AK114"/>
  <c r="AN114" s="1"/>
  <c r="AO114" s="1"/>
  <c r="AK115"/>
  <c r="AN115" s="1"/>
  <c r="AO115" s="1"/>
  <c r="AK116"/>
  <c r="AN116" s="1"/>
  <c r="AO116" s="1"/>
  <c r="AK117"/>
  <c r="AN117" s="1"/>
  <c r="AO117" s="1"/>
  <c r="AK118"/>
  <c r="AN118" s="1"/>
  <c r="AO118" s="1"/>
  <c r="AK119"/>
  <c r="AN119" s="1"/>
  <c r="AO119" s="1"/>
  <c r="AK120"/>
  <c r="AN120" s="1"/>
  <c r="AO120" s="1"/>
  <c r="AK121"/>
  <c r="AN121" s="1"/>
  <c r="AO121" s="1"/>
  <c r="AK122"/>
  <c r="AN122" s="1"/>
  <c r="AO122" s="1"/>
  <c r="AK123"/>
  <c r="AN123" s="1"/>
  <c r="AO123" s="1"/>
  <c r="AK124"/>
  <c r="AN124" s="1"/>
  <c r="AO124" s="1"/>
  <c r="AD14"/>
  <c r="AD16"/>
  <c r="AD17"/>
  <c r="AG17" s="1"/>
  <c r="AH17" s="1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Z105" s="1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3"/>
  <c r="W14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4"/>
  <c r="P16"/>
  <c r="P17"/>
  <c r="P18"/>
  <c r="P19"/>
  <c r="I17"/>
  <c r="L17" s="1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L104" s="1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4"/>
  <c r="I16"/>
  <c r="M17" l="1"/>
  <c r="J17" i="11"/>
  <c r="AI130"/>
  <c r="AV130" i="8"/>
  <c r="AI114" i="11"/>
  <c r="AV114" i="8"/>
  <c r="AI98" i="11"/>
  <c r="AV98" i="8"/>
  <c r="AI131" i="11"/>
  <c r="AV131" i="8"/>
  <c r="AI107" i="11"/>
  <c r="AV107" i="8"/>
  <c r="AI91" i="11"/>
  <c r="AV91" i="8"/>
  <c r="AI59" i="11"/>
  <c r="AV59" i="8"/>
  <c r="AI132" i="11"/>
  <c r="AV132" i="8"/>
  <c r="AI124" i="11"/>
  <c r="AV124" i="8"/>
  <c r="AI116" i="11"/>
  <c r="AV116" i="8"/>
  <c r="AI108" i="11"/>
  <c r="AV108" i="8"/>
  <c r="AI100" i="11"/>
  <c r="AV100" i="8"/>
  <c r="AI92" i="11"/>
  <c r="AV92" i="8"/>
  <c r="AI84" i="11"/>
  <c r="AV84" i="8"/>
  <c r="AI76" i="11"/>
  <c r="AV76" i="8"/>
  <c r="AI68" i="11"/>
  <c r="AV68" i="8"/>
  <c r="AI60" i="11"/>
  <c r="AV60" i="8"/>
  <c r="AI52" i="11"/>
  <c r="AV52" i="8"/>
  <c r="AI44" i="11"/>
  <c r="AV44" i="8"/>
  <c r="AI36" i="11"/>
  <c r="AV36" i="8"/>
  <c r="AI28" i="11"/>
  <c r="AV28" i="8"/>
  <c r="AI133" i="11"/>
  <c r="AV133" i="8"/>
  <c r="AI125" i="11"/>
  <c r="AV125" i="8"/>
  <c r="AI117" i="11"/>
  <c r="AV117" i="8"/>
  <c r="AI109" i="11"/>
  <c r="AV109" i="8"/>
  <c r="AI101" i="11"/>
  <c r="AV101" i="8"/>
  <c r="AI93" i="11"/>
  <c r="AV93" i="8"/>
  <c r="AI85" i="11"/>
  <c r="AV85" i="8"/>
  <c r="AI77" i="11"/>
  <c r="AV77" i="8"/>
  <c r="AI69" i="11"/>
  <c r="AV69" i="8"/>
  <c r="AI61" i="11"/>
  <c r="AV61" i="8"/>
  <c r="AI53" i="11"/>
  <c r="AV53" i="8"/>
  <c r="AI45" i="11"/>
  <c r="AV45" i="8"/>
  <c r="AI37" i="11"/>
  <c r="AV37" i="8"/>
  <c r="AI29" i="11"/>
  <c r="AV29" i="8"/>
  <c r="AI21" i="11"/>
  <c r="AV21" i="8"/>
  <c r="AI126" i="11"/>
  <c r="AV126" i="8"/>
  <c r="AI110" i="11"/>
  <c r="AV110" i="8"/>
  <c r="AI102" i="11"/>
  <c r="AV102" i="8"/>
  <c r="AI94" i="11"/>
  <c r="AV94" i="8"/>
  <c r="AI86" i="11"/>
  <c r="AV86" i="8"/>
  <c r="AI78" i="11"/>
  <c r="AV78" i="8"/>
  <c r="AI70" i="11"/>
  <c r="AV70" i="8"/>
  <c r="AI62" i="11"/>
  <c r="AV62" i="8"/>
  <c r="AI54" i="11"/>
  <c r="AV54" i="8"/>
  <c r="AI46" i="11"/>
  <c r="AV46" i="8"/>
  <c r="AI38" i="11"/>
  <c r="AV38" i="8"/>
  <c r="AI30" i="11"/>
  <c r="AV30" i="8"/>
  <c r="AI22" i="11"/>
  <c r="AV22" i="8"/>
  <c r="AI134" i="11"/>
  <c r="AV134" i="8"/>
  <c r="AI135" i="11"/>
  <c r="AV135" i="8"/>
  <c r="AI111" i="11"/>
  <c r="AV111" i="8"/>
  <c r="AI103" i="11"/>
  <c r="AV103" i="8"/>
  <c r="AI87" i="11"/>
  <c r="AV87" i="8"/>
  <c r="AI79" i="11"/>
  <c r="AV79" i="8"/>
  <c r="AI63" i="11"/>
  <c r="AV63" i="8"/>
  <c r="AI55" i="11"/>
  <c r="AV55" i="8"/>
  <c r="AI47" i="11"/>
  <c r="AV47" i="8"/>
  <c r="AI39" i="11"/>
  <c r="AV39" i="8"/>
  <c r="AI31" i="11"/>
  <c r="AV31" i="8"/>
  <c r="AI23" i="11"/>
  <c r="AV23" i="8"/>
  <c r="AI118" i="11"/>
  <c r="AV118" i="8"/>
  <c r="AI127" i="11"/>
  <c r="AV127" i="8"/>
  <c r="AI119" i="11"/>
  <c r="AV119" i="8"/>
  <c r="AI95" i="11"/>
  <c r="AV95" i="8"/>
  <c r="AI71" i="11"/>
  <c r="AV71" i="8"/>
  <c r="AI128" i="11"/>
  <c r="AV128" i="8"/>
  <c r="AI120" i="11"/>
  <c r="AV120" i="8"/>
  <c r="AI112" i="11"/>
  <c r="AV112" i="8"/>
  <c r="AI104" i="11"/>
  <c r="AV104" i="8"/>
  <c r="AI96" i="11"/>
  <c r="AV96" i="8"/>
  <c r="AI88" i="11"/>
  <c r="AV88" i="8"/>
  <c r="AI80" i="11"/>
  <c r="AV80" i="8"/>
  <c r="AI72" i="11"/>
  <c r="AV72" i="8"/>
  <c r="AI64" i="11"/>
  <c r="AV64" i="8"/>
  <c r="AI56" i="11"/>
  <c r="AV56" i="8"/>
  <c r="AI48" i="11"/>
  <c r="AV48" i="8"/>
  <c r="AI40" i="11"/>
  <c r="AV40" i="8"/>
  <c r="AI32" i="11"/>
  <c r="AV32" i="8"/>
  <c r="AI24" i="11"/>
  <c r="AV24" i="8"/>
  <c r="AI121" i="11"/>
  <c r="AV121" i="8"/>
  <c r="AI113" i="11"/>
  <c r="AV113" i="8"/>
  <c r="AI105" i="11"/>
  <c r="AV105" i="8"/>
  <c r="AI97" i="11"/>
  <c r="AV97" i="8"/>
  <c r="AI89" i="11"/>
  <c r="AV89" i="8"/>
  <c r="AI81" i="11"/>
  <c r="AV81" i="8"/>
  <c r="AI73" i="11"/>
  <c r="AV73" i="8"/>
  <c r="AI65" i="11"/>
  <c r="AV65" i="8"/>
  <c r="AI57" i="11"/>
  <c r="AV57" i="8"/>
  <c r="AI49" i="11"/>
  <c r="AV49" i="8"/>
  <c r="AI41" i="11"/>
  <c r="AV41" i="8"/>
  <c r="AI33" i="11"/>
  <c r="AV33" i="8"/>
  <c r="AI25" i="11"/>
  <c r="AV25" i="8"/>
  <c r="AI17" i="11"/>
  <c r="AV17" i="8"/>
  <c r="AI129" i="11"/>
  <c r="AV129" i="8"/>
  <c r="AI106" i="11"/>
  <c r="AV106" i="8"/>
  <c r="AI90" i="11"/>
  <c r="AV90" i="8"/>
  <c r="AI82" i="11"/>
  <c r="AV82" i="8"/>
  <c r="AI74" i="11"/>
  <c r="AV74" i="8"/>
  <c r="AI66" i="11"/>
  <c r="AV66" i="8"/>
  <c r="AI58" i="11"/>
  <c r="AV58" i="8"/>
  <c r="AI50" i="11"/>
  <c r="AV50" i="8"/>
  <c r="AI42" i="11"/>
  <c r="AV42" i="8"/>
  <c r="AI34" i="11"/>
  <c r="AV34" i="8"/>
  <c r="AI26" i="11"/>
  <c r="AV26" i="8"/>
  <c r="AI122" i="11"/>
  <c r="AV122" i="8"/>
  <c r="AI123" i="11"/>
  <c r="AV123" i="8"/>
  <c r="AI115" i="11"/>
  <c r="AV115" i="8"/>
  <c r="AI99" i="11"/>
  <c r="AV99" i="8"/>
  <c r="AI83" i="11"/>
  <c r="AV83" i="8"/>
  <c r="AI75" i="11"/>
  <c r="AV75" i="8"/>
  <c r="AI67" i="11"/>
  <c r="AV67" i="8"/>
  <c r="AI51" i="11"/>
  <c r="AV51" i="8"/>
  <c r="AI43" i="11"/>
  <c r="AV43" i="8"/>
  <c r="AI35" i="11"/>
  <c r="AV35" i="8"/>
  <c r="AI27" i="11"/>
  <c r="AV27" i="8"/>
  <c r="AI19" i="11"/>
  <c r="AV19" i="8"/>
  <c r="T105" i="11"/>
  <c r="AA105" i="8"/>
  <c r="J104" i="11"/>
  <c r="M104" i="8"/>
  <c r="I5"/>
  <c r="L5" s="1"/>
  <c r="M5" s="1"/>
  <c r="K5"/>
  <c r="BB6" l="1"/>
  <c r="BB7"/>
  <c r="BB8"/>
  <c r="BB9"/>
  <c r="BB10"/>
  <c r="BB11"/>
  <c r="BB12"/>
  <c r="BB13"/>
  <c r="BB14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B152"/>
  <c r="BB153"/>
  <c r="BB154"/>
  <c r="AZ9"/>
  <c r="AZ10"/>
  <c r="AZ11"/>
  <c r="AZ12"/>
  <c r="AZ13"/>
  <c r="AZ14"/>
  <c r="AZ16"/>
  <c r="AZ17"/>
  <c r="AZ18"/>
  <c r="BC18" s="1"/>
  <c r="BD18" s="1"/>
  <c r="AZ19"/>
  <c r="AZ20"/>
  <c r="AZ21"/>
  <c r="BC21" s="1"/>
  <c r="BD21" s="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5"/>
  <c r="AZ56"/>
  <c r="AZ57"/>
  <c r="AZ58"/>
  <c r="AZ59"/>
  <c r="AZ60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110"/>
  <c r="AZ111"/>
  <c r="AZ112"/>
  <c r="AZ113"/>
  <c r="AZ114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6"/>
  <c r="AZ7"/>
  <c r="AZ8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110"/>
  <c r="AT111"/>
  <c r="AT112"/>
  <c r="AT113"/>
  <c r="AT114"/>
  <c r="AT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6"/>
  <c r="AT7"/>
  <c r="AT8"/>
  <c r="AT9"/>
  <c r="AT10"/>
  <c r="AT11"/>
  <c r="AT12"/>
  <c r="AT13"/>
  <c r="AT14"/>
  <c r="AT16"/>
  <c r="AU16" s="1"/>
  <c r="AT17"/>
  <c r="AT18"/>
  <c r="AU18" s="1"/>
  <c r="AT19"/>
  <c r="AT20"/>
  <c r="AU20" s="1"/>
  <c r="AR136"/>
  <c r="AU136" s="1"/>
  <c r="AR137"/>
  <c r="AU137" s="1"/>
  <c r="AR138"/>
  <c r="AU138" s="1"/>
  <c r="AR139"/>
  <c r="AU139" s="1"/>
  <c r="AR140"/>
  <c r="AU140" s="1"/>
  <c r="AR141"/>
  <c r="AU141" s="1"/>
  <c r="AR142"/>
  <c r="AU142" s="1"/>
  <c r="AR143"/>
  <c r="AU143" s="1"/>
  <c r="AR144"/>
  <c r="AU144" s="1"/>
  <c r="AR145"/>
  <c r="AU145" s="1"/>
  <c r="AR146"/>
  <c r="AU146" s="1"/>
  <c r="AR147"/>
  <c r="AU147" s="1"/>
  <c r="AR148"/>
  <c r="AU148" s="1"/>
  <c r="AR149"/>
  <c r="AU149" s="1"/>
  <c r="AR150"/>
  <c r="AU150" s="1"/>
  <c r="AR151"/>
  <c r="AU151" s="1"/>
  <c r="AR152"/>
  <c r="AU152" s="1"/>
  <c r="AR153"/>
  <c r="AU153" s="1"/>
  <c r="AR154"/>
  <c r="AU154" s="1"/>
  <c r="AR6"/>
  <c r="AR7"/>
  <c r="AR8"/>
  <c r="AR9"/>
  <c r="AU9" s="1"/>
  <c r="AR10"/>
  <c r="AR11"/>
  <c r="AU11" s="1"/>
  <c r="AR12"/>
  <c r="AR13"/>
  <c r="AU13" s="1"/>
  <c r="AR14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6"/>
  <c r="AM7"/>
  <c r="AM8"/>
  <c r="AM9"/>
  <c r="AM10"/>
  <c r="AM11"/>
  <c r="AM12"/>
  <c r="AM13"/>
  <c r="AM14"/>
  <c r="AM16"/>
  <c r="AN16" s="1"/>
  <c r="AO16" s="1"/>
  <c r="AM17"/>
  <c r="AM18"/>
  <c r="AN18" s="1"/>
  <c r="AO18" s="1"/>
  <c r="AM19"/>
  <c r="AM20"/>
  <c r="AN20" s="1"/>
  <c r="AO20" s="1"/>
  <c r="AK125"/>
  <c r="AN125" s="1"/>
  <c r="AO125" s="1"/>
  <c r="AK126"/>
  <c r="AN126" s="1"/>
  <c r="AO126" s="1"/>
  <c r="AK127"/>
  <c r="AN127" s="1"/>
  <c r="AO127" s="1"/>
  <c r="AK128"/>
  <c r="AN128" s="1"/>
  <c r="AO128" s="1"/>
  <c r="AK129"/>
  <c r="AN129" s="1"/>
  <c r="AO129" s="1"/>
  <c r="AK130"/>
  <c r="AN130" s="1"/>
  <c r="AO130" s="1"/>
  <c r="AK131"/>
  <c r="AN131" s="1"/>
  <c r="AO131" s="1"/>
  <c r="AK132"/>
  <c r="AN132" s="1"/>
  <c r="AO132" s="1"/>
  <c r="AK133"/>
  <c r="AN133" s="1"/>
  <c r="AO133" s="1"/>
  <c r="AK134"/>
  <c r="AN134" s="1"/>
  <c r="AO134" s="1"/>
  <c r="AK135"/>
  <c r="AN135" s="1"/>
  <c r="AO135" s="1"/>
  <c r="AK136"/>
  <c r="AN136" s="1"/>
  <c r="AO136" s="1"/>
  <c r="AK137"/>
  <c r="AN137" s="1"/>
  <c r="AO137" s="1"/>
  <c r="AK138"/>
  <c r="AN138" s="1"/>
  <c r="AO138" s="1"/>
  <c r="AK139"/>
  <c r="AN139" s="1"/>
  <c r="AO139" s="1"/>
  <c r="AK140"/>
  <c r="AN140" s="1"/>
  <c r="AO140" s="1"/>
  <c r="AK141"/>
  <c r="AN141" s="1"/>
  <c r="AO141" s="1"/>
  <c r="AK142"/>
  <c r="AN142" s="1"/>
  <c r="AO142" s="1"/>
  <c r="AK143"/>
  <c r="AN143" s="1"/>
  <c r="AO143" s="1"/>
  <c r="AK144"/>
  <c r="AN144" s="1"/>
  <c r="AO144" s="1"/>
  <c r="AK145"/>
  <c r="AN145" s="1"/>
  <c r="AO145" s="1"/>
  <c r="AK146"/>
  <c r="AN146" s="1"/>
  <c r="AO146" s="1"/>
  <c r="AK147"/>
  <c r="AN147" s="1"/>
  <c r="AO147" s="1"/>
  <c r="AK148"/>
  <c r="AN148" s="1"/>
  <c r="AO148" s="1"/>
  <c r="AK149"/>
  <c r="AN149" s="1"/>
  <c r="AO149" s="1"/>
  <c r="AK150"/>
  <c r="AN150" s="1"/>
  <c r="AO150" s="1"/>
  <c r="AK151"/>
  <c r="AN151" s="1"/>
  <c r="AO151" s="1"/>
  <c r="AK152"/>
  <c r="AN152" s="1"/>
  <c r="AO152" s="1"/>
  <c r="AK153"/>
  <c r="AN153" s="1"/>
  <c r="AO153" s="1"/>
  <c r="AK154"/>
  <c r="AN154" s="1"/>
  <c r="AO154" s="1"/>
  <c r="AK6"/>
  <c r="AK7"/>
  <c r="AK8"/>
  <c r="AN8" s="1"/>
  <c r="AO8" s="1"/>
  <c r="AK9"/>
  <c r="AN9" s="1"/>
  <c r="AO9" s="1"/>
  <c r="AK10"/>
  <c r="AN10" s="1"/>
  <c r="AO10" s="1"/>
  <c r="AK11"/>
  <c r="AN11" s="1"/>
  <c r="AO11" s="1"/>
  <c r="AK12"/>
  <c r="AN12" s="1"/>
  <c r="AO12" s="1"/>
  <c r="AK13"/>
  <c r="AK14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6"/>
  <c r="AF7"/>
  <c r="AF8"/>
  <c r="AF9"/>
  <c r="AF10"/>
  <c r="AF11"/>
  <c r="AF12"/>
  <c r="AF13"/>
  <c r="AF14"/>
  <c r="AF16"/>
  <c r="AG16" s="1"/>
  <c r="AH16" s="1"/>
  <c r="AF17"/>
  <c r="AF18"/>
  <c r="AG18" s="1"/>
  <c r="AH18" s="1"/>
  <c r="AF19"/>
  <c r="AF20"/>
  <c r="AG20" s="1"/>
  <c r="AH20" s="1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6"/>
  <c r="AG6" s="1"/>
  <c r="AD7"/>
  <c r="AG7" s="1"/>
  <c r="AD8"/>
  <c r="AD9"/>
  <c r="AD10"/>
  <c r="AD11"/>
  <c r="AD12"/>
  <c r="AD13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Z39" s="1"/>
  <c r="AA39" s="1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104" s="1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6"/>
  <c r="Y7"/>
  <c r="Y8"/>
  <c r="Y9"/>
  <c r="Y10"/>
  <c r="Y11"/>
  <c r="Y12"/>
  <c r="Y13"/>
  <c r="Y14"/>
  <c r="Y16"/>
  <c r="Z16" s="1"/>
  <c r="AA16" s="1"/>
  <c r="Y17"/>
  <c r="Y18"/>
  <c r="Z18" s="1"/>
  <c r="AA18" s="1"/>
  <c r="Y19"/>
  <c r="Y20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6"/>
  <c r="Z6" s="1"/>
  <c r="W7"/>
  <c r="Z7" s="1"/>
  <c r="W8"/>
  <c r="W9"/>
  <c r="W10"/>
  <c r="W11"/>
  <c r="W12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6"/>
  <c r="R7"/>
  <c r="R8"/>
  <c r="R9"/>
  <c r="R10"/>
  <c r="R11"/>
  <c r="R12"/>
  <c r="R13"/>
  <c r="R14"/>
  <c r="R16"/>
  <c r="S16" s="1"/>
  <c r="T16" s="1"/>
  <c r="R17"/>
  <c r="R18"/>
  <c r="S18" s="1"/>
  <c r="T18" s="1"/>
  <c r="R19"/>
  <c r="R20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6"/>
  <c r="S6" s="1"/>
  <c r="P7"/>
  <c r="S7" s="1"/>
  <c r="P8"/>
  <c r="P9"/>
  <c r="P10"/>
  <c r="S10" s="1"/>
  <c r="T10" s="1"/>
  <c r="P11"/>
  <c r="S11" s="1"/>
  <c r="T11" s="1"/>
  <c r="P12"/>
  <c r="S12" s="1"/>
  <c r="T12" s="1"/>
  <c r="P13"/>
  <c r="S13" s="1"/>
  <c r="T13" s="1"/>
  <c r="K21"/>
  <c r="L21" s="1"/>
  <c r="M21" s="1"/>
  <c r="K22"/>
  <c r="L22" s="1"/>
  <c r="M22" s="1"/>
  <c r="K23"/>
  <c r="L23" s="1"/>
  <c r="M23" s="1"/>
  <c r="K24"/>
  <c r="L24" s="1"/>
  <c r="M24" s="1"/>
  <c r="K25"/>
  <c r="L25" s="1"/>
  <c r="M25" s="1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6"/>
  <c r="K7"/>
  <c r="K8"/>
  <c r="K9"/>
  <c r="K10"/>
  <c r="K11"/>
  <c r="K12"/>
  <c r="K13"/>
  <c r="K14"/>
  <c r="K16"/>
  <c r="L16" s="1"/>
  <c r="M16" s="1"/>
  <c r="K17"/>
  <c r="K18"/>
  <c r="L18" s="1"/>
  <c r="M18" s="1"/>
  <c r="K19"/>
  <c r="L19" s="1"/>
  <c r="M19" s="1"/>
  <c r="K20"/>
  <c r="L20" s="1"/>
  <c r="M20" s="1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6"/>
  <c r="L6" s="1"/>
  <c r="I7"/>
  <c r="L7" s="1"/>
  <c r="I8"/>
  <c r="I9"/>
  <c r="I10"/>
  <c r="I11"/>
  <c r="I12"/>
  <c r="I13"/>
  <c r="AU14" l="1"/>
  <c r="AU7"/>
  <c r="AV7" s="1"/>
  <c r="AU8"/>
  <c r="AU10"/>
  <c r="AU6"/>
  <c r="AV6" s="1"/>
  <c r="AU12"/>
  <c r="AV12" s="1"/>
  <c r="AI13" i="11"/>
  <c r="AV13" i="8"/>
  <c r="AI154" i="11"/>
  <c r="AV154" i="8"/>
  <c r="AI146" i="11"/>
  <c r="AV146" i="8"/>
  <c r="AI138" i="11"/>
  <c r="AV138" i="8"/>
  <c r="AI14" i="11"/>
  <c r="AV14" i="8"/>
  <c r="AI147" i="11"/>
  <c r="AV147" i="8"/>
  <c r="AI139" i="11"/>
  <c r="AV139" i="8"/>
  <c r="AI148" i="11"/>
  <c r="AV148" i="8"/>
  <c r="AI140" i="11"/>
  <c r="AV140" i="8"/>
  <c r="AI153" i="11"/>
  <c r="AV153" i="8"/>
  <c r="AI149" i="11"/>
  <c r="AV149" i="8"/>
  <c r="AI141" i="11"/>
  <c r="AV141" i="8"/>
  <c r="AV18"/>
  <c r="AI18" i="11"/>
  <c r="AI150"/>
  <c r="AV150" i="8"/>
  <c r="AI142" i="11"/>
  <c r="AV142" i="8"/>
  <c r="AI10" i="11"/>
  <c r="AV10" i="8"/>
  <c r="AI151" i="11"/>
  <c r="AV151" i="8"/>
  <c r="AI143" i="11"/>
  <c r="AV143" i="8"/>
  <c r="AV20"/>
  <c r="AI20" i="11"/>
  <c r="AI11"/>
  <c r="AV11" i="8"/>
  <c r="AI152" i="11"/>
  <c r="AV152" i="8"/>
  <c r="AI144" i="11"/>
  <c r="AV144" i="8"/>
  <c r="AI136" i="11"/>
  <c r="AV136" i="8"/>
  <c r="AI137" i="11"/>
  <c r="AV137" i="8"/>
  <c r="AI145" i="11"/>
  <c r="AV145" i="8"/>
  <c r="AV16"/>
  <c r="AI16" i="11"/>
  <c r="AI9"/>
  <c r="AV9" i="8"/>
  <c r="AI8" i="11"/>
  <c r="AV8" i="8"/>
  <c r="AA104"/>
  <c r="T104" i="11"/>
  <c r="Y7"/>
  <c r="AH7" i="8"/>
  <c r="T7" i="11"/>
  <c r="AA7" i="8"/>
  <c r="T7"/>
  <c r="O7" i="11"/>
  <c r="J7"/>
  <c r="M7" i="8"/>
  <c r="T6"/>
  <c r="O6" i="11"/>
  <c r="J6"/>
  <c r="M6" i="8"/>
  <c r="Y6" i="11"/>
  <c r="AH6" i="8"/>
  <c r="T6" i="11"/>
  <c r="AA6" i="8"/>
  <c r="AN13"/>
  <c r="AO13" s="1"/>
  <c r="AN7"/>
  <c r="AN14"/>
  <c r="AO14" s="1"/>
  <c r="AN6"/>
  <c r="BC16"/>
  <c r="BC11"/>
  <c r="S8"/>
  <c r="T8" s="1"/>
  <c r="S9"/>
  <c r="T9" s="1"/>
  <c r="AL14" i="11"/>
  <c r="B5"/>
  <c r="B6"/>
  <c r="B16" i="13" s="1"/>
  <c r="B7" i="11"/>
  <c r="B17" i="13" s="1"/>
  <c r="B8" i="11"/>
  <c r="B9"/>
  <c r="B19" i="13" s="1"/>
  <c r="B10" i="11"/>
  <c r="B20" i="13" s="1"/>
  <c r="B11" i="11"/>
  <c r="B21" i="13" s="1"/>
  <c r="B12" i="11"/>
  <c r="B22" i="13" s="1"/>
  <c r="B13" i="11"/>
  <c r="B23" i="13" s="1"/>
  <c r="B14" i="11"/>
  <c r="B24" i="13" s="1"/>
  <c r="B15" i="11"/>
  <c r="B16"/>
  <c r="B26" i="13" s="1"/>
  <c r="B17" i="11"/>
  <c r="B27" i="13" s="1"/>
  <c r="B18" i="11"/>
  <c r="B28" i="13" s="1"/>
  <c r="B19" i="11"/>
  <c r="B29" i="13" s="1"/>
  <c r="B20" i="11"/>
  <c r="B30" i="13" s="1"/>
  <c r="B21" i="11"/>
  <c r="B31" i="13" s="1"/>
  <c r="B22" i="11"/>
  <c r="B32" i="13" s="1"/>
  <c r="B23" i="11"/>
  <c r="B33" i="13" s="1"/>
  <c r="B24" i="11"/>
  <c r="B34" i="13" s="1"/>
  <c r="B25" i="11"/>
  <c r="B26"/>
  <c r="B36" i="13" s="1"/>
  <c r="B27" i="11"/>
  <c r="B37" i="13" s="1"/>
  <c r="B28" i="11"/>
  <c r="B38" i="13" s="1"/>
  <c r="B29" i="11"/>
  <c r="B39" i="13" s="1"/>
  <c r="B30" i="11"/>
  <c r="B40" i="13" s="1"/>
  <c r="B31" i="11"/>
  <c r="B41" i="13" s="1"/>
  <c r="B32" i="11"/>
  <c r="B42" i="13" s="1"/>
  <c r="B33" i="11"/>
  <c r="B43" i="13" s="1"/>
  <c r="B34" i="11"/>
  <c r="B44" i="13" s="1"/>
  <c r="B35" i="11"/>
  <c r="B45" i="13" s="1"/>
  <c r="B36" i="11"/>
  <c r="B46" i="13" s="1"/>
  <c r="B37" i="11"/>
  <c r="B47" i="13" s="1"/>
  <c r="B38" i="11"/>
  <c r="B48" i="13" s="1"/>
  <c r="B39" i="11"/>
  <c r="B49" i="13" s="1"/>
  <c r="B40" i="11"/>
  <c r="B50" i="13" s="1"/>
  <c r="B41" i="11"/>
  <c r="B51" i="13" s="1"/>
  <c r="B42" i="11"/>
  <c r="B52" i="13" s="1"/>
  <c r="B43" i="11"/>
  <c r="B53" i="13" s="1"/>
  <c r="B44" i="11"/>
  <c r="B54" i="13" s="1"/>
  <c r="B45" i="11"/>
  <c r="B55" i="13" s="1"/>
  <c r="B46" i="11"/>
  <c r="B56" i="13" s="1"/>
  <c r="B47" i="11"/>
  <c r="B57" i="13" s="1"/>
  <c r="B48" i="11"/>
  <c r="B58" i="13" s="1"/>
  <c r="B49" i="11"/>
  <c r="B59" i="13" s="1"/>
  <c r="B50" i="11"/>
  <c r="B60" i="13" s="1"/>
  <c r="B51" i="11"/>
  <c r="B61" i="13" s="1"/>
  <c r="B52" i="11"/>
  <c r="B62" i="13" s="1"/>
  <c r="B53" i="11"/>
  <c r="B63" i="13" s="1"/>
  <c r="B54" i="11"/>
  <c r="B64" i="13" s="1"/>
  <c r="B55" i="11"/>
  <c r="B65" i="13" s="1"/>
  <c r="B56" i="11"/>
  <c r="B66" i="13" s="1"/>
  <c r="B57" i="11"/>
  <c r="B67" i="13" s="1"/>
  <c r="B58" i="11"/>
  <c r="B68" i="13" s="1"/>
  <c r="B59" i="11"/>
  <c r="B69" i="13" s="1"/>
  <c r="B60" i="11"/>
  <c r="B70" i="13" s="1"/>
  <c r="B61" i="11"/>
  <c r="B71" i="13" s="1"/>
  <c r="B62" i="11"/>
  <c r="B72" i="13" s="1"/>
  <c r="B63" i="11"/>
  <c r="B73" i="13" s="1"/>
  <c r="B64" i="11"/>
  <c r="B74" i="13" s="1"/>
  <c r="B65" i="11"/>
  <c r="B75" i="13" s="1"/>
  <c r="B66" i="11"/>
  <c r="B76" i="13" s="1"/>
  <c r="B67" i="11"/>
  <c r="B77" i="13" s="1"/>
  <c r="B68" i="11"/>
  <c r="B78" i="13" s="1"/>
  <c r="B69" i="11"/>
  <c r="B79" i="13" s="1"/>
  <c r="B70" i="11"/>
  <c r="B80" i="13" s="1"/>
  <c r="B71" i="11"/>
  <c r="B81" i="13" s="1"/>
  <c r="B72" i="11"/>
  <c r="B82" i="13" s="1"/>
  <c r="B73" i="11"/>
  <c r="B83" i="13" s="1"/>
  <c r="B74" i="11"/>
  <c r="B84" i="13" s="1"/>
  <c r="B75" i="11"/>
  <c r="B85" i="13" s="1"/>
  <c r="B76" i="11"/>
  <c r="B86" i="13" s="1"/>
  <c r="B77" i="11"/>
  <c r="B87" i="13" s="1"/>
  <c r="B78" i="11"/>
  <c r="B88" i="13" s="1"/>
  <c r="B79" i="11"/>
  <c r="B89" i="13" s="1"/>
  <c r="B80" i="11"/>
  <c r="B90" i="13" s="1"/>
  <c r="B81" i="11"/>
  <c r="B91" i="13" s="1"/>
  <c r="B82" i="11"/>
  <c r="B92" i="13" s="1"/>
  <c r="B83" i="11"/>
  <c r="B93" i="13" s="1"/>
  <c r="B84" i="11"/>
  <c r="B94" i="13" s="1"/>
  <c r="B85" i="11"/>
  <c r="B95" i="13" s="1"/>
  <c r="B86" i="11"/>
  <c r="B96" i="13" s="1"/>
  <c r="B87" i="11"/>
  <c r="B97" i="13" s="1"/>
  <c r="B88" i="11"/>
  <c r="B98" i="13" s="1"/>
  <c r="B89" i="11"/>
  <c r="B99" i="13" s="1"/>
  <c r="B90" i="11"/>
  <c r="B100" i="13" s="1"/>
  <c r="B91" i="11"/>
  <c r="B101" i="13" s="1"/>
  <c r="B92" i="11"/>
  <c r="B102" i="13" s="1"/>
  <c r="B93" i="11"/>
  <c r="B103" i="13" s="1"/>
  <c r="B94" i="11"/>
  <c r="B104" i="13" s="1"/>
  <c r="B95" i="11"/>
  <c r="B105" i="13" s="1"/>
  <c r="B96" i="11"/>
  <c r="B106" i="13" s="1"/>
  <c r="B97" i="11"/>
  <c r="B107" i="13" s="1"/>
  <c r="B98" i="11"/>
  <c r="B108" i="13" s="1"/>
  <c r="B99" i="11"/>
  <c r="B109" i="13" s="1"/>
  <c r="B100" i="11"/>
  <c r="B110" i="13" s="1"/>
  <c r="B101" i="11"/>
  <c r="B111" i="13" s="1"/>
  <c r="B102" i="11"/>
  <c r="B112" i="13" s="1"/>
  <c r="B103" i="11"/>
  <c r="B113" i="13" s="1"/>
  <c r="B104" i="11"/>
  <c r="B114" i="13" s="1"/>
  <c r="B105" i="11"/>
  <c r="B115" i="13" s="1"/>
  <c r="B106" i="11"/>
  <c r="B116" i="13" s="1"/>
  <c r="B107" i="11"/>
  <c r="B117" i="13" s="1"/>
  <c r="B108" i="11"/>
  <c r="B118" i="13" s="1"/>
  <c r="B109" i="11"/>
  <c r="B119" i="13" s="1"/>
  <c r="B110" i="11"/>
  <c r="B120" i="13" s="1"/>
  <c r="B111" i="11"/>
  <c r="B121" i="13" s="1"/>
  <c r="B112" i="11"/>
  <c r="B122" i="13" s="1"/>
  <c r="B113" i="11"/>
  <c r="B123" i="13" s="1"/>
  <c r="B114" i="11"/>
  <c r="B124" i="13" s="1"/>
  <c r="B115" i="11"/>
  <c r="B125" i="13" s="1"/>
  <c r="B116" i="11"/>
  <c r="B126" i="13" s="1"/>
  <c r="B117" i="11"/>
  <c r="B127" i="13" s="1"/>
  <c r="B118" i="11"/>
  <c r="B128" i="13" s="1"/>
  <c r="B119" i="11"/>
  <c r="B129" i="13" s="1"/>
  <c r="B120" i="11"/>
  <c r="B130" i="13" s="1"/>
  <c r="B121" i="11"/>
  <c r="B131" i="13" s="1"/>
  <c r="B122" i="11"/>
  <c r="B132" i="13" s="1"/>
  <c r="B123" i="11"/>
  <c r="B133" i="13" s="1"/>
  <c r="B124" i="11"/>
  <c r="B134" i="13" s="1"/>
  <c r="B125" i="11"/>
  <c r="B135" i="13" s="1"/>
  <c r="B126" i="11"/>
  <c r="B136" i="13" s="1"/>
  <c r="B127" i="11"/>
  <c r="B137" i="13" s="1"/>
  <c r="B128" i="11"/>
  <c r="B138" i="13" s="1"/>
  <c r="B129" i="11"/>
  <c r="B139" i="13" s="1"/>
  <c r="B130" i="11"/>
  <c r="B140" i="13" s="1"/>
  <c r="B131" i="11"/>
  <c r="B141" i="13" s="1"/>
  <c r="B132" i="11"/>
  <c r="B142" i="13" s="1"/>
  <c r="B133" i="11"/>
  <c r="B143" i="13" s="1"/>
  <c r="B134" i="11"/>
  <c r="B144" i="13" s="1"/>
  <c r="B135" i="11"/>
  <c r="B145" i="13" s="1"/>
  <c r="B136" i="11"/>
  <c r="B146" i="13" s="1"/>
  <c r="B137" i="11"/>
  <c r="B147" i="13" s="1"/>
  <c r="B138" i="11"/>
  <c r="B148" i="13" s="1"/>
  <c r="B139" i="11"/>
  <c r="B149" i="13" s="1"/>
  <c r="B140" i="11"/>
  <c r="B150" i="13" s="1"/>
  <c r="B141" i="11"/>
  <c r="B151" i="13" s="1"/>
  <c r="B142" i="11"/>
  <c r="B152" i="13" s="1"/>
  <c r="B143" i="11"/>
  <c r="B153" i="13" s="1"/>
  <c r="B144" i="11"/>
  <c r="B154" i="13" s="1"/>
  <c r="B145" i="11"/>
  <c r="B155" i="13" s="1"/>
  <c r="B146" i="11"/>
  <c r="B156" i="13" s="1"/>
  <c r="B147" i="11"/>
  <c r="B157" i="13" s="1"/>
  <c r="B148" i="11"/>
  <c r="B158" i="13" s="1"/>
  <c r="B149" i="11"/>
  <c r="B159" i="13" s="1"/>
  <c r="B150" i="11"/>
  <c r="B160" i="13" s="1"/>
  <c r="B151" i="11"/>
  <c r="B161" i="13" s="1"/>
  <c r="B152" i="11"/>
  <c r="B162" i="13" s="1"/>
  <c r="B153" i="11"/>
  <c r="B163" i="13" s="1"/>
  <c r="B154" i="11"/>
  <c r="B164" i="13" s="1"/>
  <c r="AI6" i="11" l="1"/>
  <c r="AI7"/>
  <c r="AI12"/>
  <c r="BD16" i="8"/>
  <c r="AN16" i="11" s="1"/>
  <c r="AO16"/>
  <c r="BD11" i="8"/>
  <c r="AN11" i="11" s="1"/>
  <c r="AO11"/>
  <c r="AO7" i="8"/>
  <c r="AD7" i="11"/>
  <c r="AO6" i="8"/>
  <c r="AD6" i="11"/>
  <c r="B25" i="13"/>
  <c r="B15"/>
  <c r="B35"/>
  <c r="B18"/>
  <c r="B156" i="11"/>
  <c r="BB5" i="8"/>
  <c r="AZ5"/>
  <c r="AL5" i="11" s="1"/>
  <c r="AN6"/>
  <c r="AN7"/>
  <c r="AN8"/>
  <c r="AN9"/>
  <c r="AN10"/>
  <c r="AN12"/>
  <c r="AN13"/>
  <c r="AN14"/>
  <c r="AN15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M6"/>
  <c r="AM7"/>
  <c r="AM8"/>
  <c r="AM9"/>
  <c r="AM10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L6"/>
  <c r="AL7"/>
  <c r="AL8"/>
  <c r="AL9"/>
  <c r="AL10"/>
  <c r="AL11"/>
  <c r="AL12"/>
  <c r="AL13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L51"/>
  <c r="AL52"/>
  <c r="AL53"/>
  <c r="AL54"/>
  <c r="AL55"/>
  <c r="AL56"/>
  <c r="AL57"/>
  <c r="AL58"/>
  <c r="AL59"/>
  <c r="AL60"/>
  <c r="AL61"/>
  <c r="AL62"/>
  <c r="AL63"/>
  <c r="AL64"/>
  <c r="AL65"/>
  <c r="AL66"/>
  <c r="AL67"/>
  <c r="AL68"/>
  <c r="AL69"/>
  <c r="AL70"/>
  <c r="AL71"/>
  <c r="AL72"/>
  <c r="AL73"/>
  <c r="AL74"/>
  <c r="AL75"/>
  <c r="AL76"/>
  <c r="AL77"/>
  <c r="AL78"/>
  <c r="AL79"/>
  <c r="AL80"/>
  <c r="AL81"/>
  <c r="AL82"/>
  <c r="AL83"/>
  <c r="AL84"/>
  <c r="AL85"/>
  <c r="AL86"/>
  <c r="AL87"/>
  <c r="AL88"/>
  <c r="AL89"/>
  <c r="AL90"/>
  <c r="AL91"/>
  <c r="AL92"/>
  <c r="AL93"/>
  <c r="AL94"/>
  <c r="AL9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147"/>
  <c r="Z148"/>
  <c r="Z149"/>
  <c r="Z150"/>
  <c r="Z151"/>
  <c r="Z152"/>
  <c r="Z153"/>
  <c r="Z154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7"/>
  <c r="X108"/>
  <c r="X109"/>
  <c r="X110"/>
  <c r="X111"/>
  <c r="X112"/>
  <c r="X113"/>
  <c r="X114"/>
  <c r="X115"/>
  <c r="X116"/>
  <c r="X117"/>
  <c r="X118"/>
  <c r="X119"/>
  <c r="X120"/>
  <c r="X121"/>
  <c r="X122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X146"/>
  <c r="X147"/>
  <c r="X148"/>
  <c r="X149"/>
  <c r="X150"/>
  <c r="X151"/>
  <c r="X152"/>
  <c r="X153"/>
  <c r="X154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43"/>
  <c r="V144"/>
  <c r="V145"/>
  <c r="V146"/>
  <c r="V147"/>
  <c r="V148"/>
  <c r="V149"/>
  <c r="V150"/>
  <c r="V151"/>
  <c r="V152"/>
  <c r="V153"/>
  <c r="V154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H6"/>
  <c r="H7"/>
  <c r="H8"/>
  <c r="H9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BC5" i="8" l="1"/>
  <c r="H33" i="7"/>
  <c r="AJ154" i="11"/>
  <c r="F164" i="13" s="1"/>
  <c r="G164" s="1"/>
  <c r="AJ146" i="11"/>
  <c r="F156" i="13" s="1"/>
  <c r="G156" s="1"/>
  <c r="AJ138" i="11"/>
  <c r="F148" i="13" s="1"/>
  <c r="G148" s="1"/>
  <c r="AJ130" i="11"/>
  <c r="F140" i="13" s="1"/>
  <c r="G140" s="1"/>
  <c r="AJ142" i="11"/>
  <c r="F152" i="13" s="1"/>
  <c r="G152" s="1"/>
  <c r="AJ134" i="11"/>
  <c r="F144" i="13" s="1"/>
  <c r="G144" s="1"/>
  <c r="AJ126" i="11"/>
  <c r="F136" i="13" s="1"/>
  <c r="G136" s="1"/>
  <c r="AJ150" i="11"/>
  <c r="F160" i="13" s="1"/>
  <c r="G160" s="1"/>
  <c r="AJ152" i="11"/>
  <c r="F162" i="13" s="1"/>
  <c r="G162" s="1"/>
  <c r="AJ148" i="11"/>
  <c r="F158" i="13" s="1"/>
  <c r="G158" s="1"/>
  <c r="AJ144" i="11"/>
  <c r="F154" i="13" s="1"/>
  <c r="G154" s="1"/>
  <c r="AJ140" i="11"/>
  <c r="F150" i="13" s="1"/>
  <c r="G150" s="1"/>
  <c r="AJ136" i="11"/>
  <c r="F146" i="13" s="1"/>
  <c r="G146" s="1"/>
  <c r="AJ132" i="11"/>
  <c r="F142" i="13" s="1"/>
  <c r="G142" s="1"/>
  <c r="AJ128" i="11"/>
  <c r="F138" i="13" s="1"/>
  <c r="G138" s="1"/>
  <c r="AQ147" i="11"/>
  <c r="AQ139"/>
  <c r="AQ131"/>
  <c r="AJ149"/>
  <c r="F159" i="13" s="1"/>
  <c r="G159" s="1"/>
  <c r="AJ141" i="11"/>
  <c r="F151" i="13" s="1"/>
  <c r="G151" s="1"/>
  <c r="AJ133" i="11"/>
  <c r="F143" i="13" s="1"/>
  <c r="G143" s="1"/>
  <c r="AJ125" i="11"/>
  <c r="F135" i="13" s="1"/>
  <c r="G135" s="1"/>
  <c r="AQ123" i="11"/>
  <c r="AQ107"/>
  <c r="AQ91"/>
  <c r="AQ75"/>
  <c r="AQ59"/>
  <c r="AQ35"/>
  <c r="AQ27"/>
  <c r="AQ115"/>
  <c r="AQ99"/>
  <c r="AQ83"/>
  <c r="AQ67"/>
  <c r="AQ51"/>
  <c r="AQ43"/>
  <c r="AQ19"/>
  <c r="AQ61"/>
  <c r="AJ117"/>
  <c r="F127" i="13" s="1"/>
  <c r="AJ109" i="11"/>
  <c r="F119" i="13" s="1"/>
  <c r="AJ101" i="11"/>
  <c r="F111" i="13" s="1"/>
  <c r="AJ93" i="11"/>
  <c r="F103" i="13" s="1"/>
  <c r="AJ85" i="11"/>
  <c r="F95" i="13" s="1"/>
  <c r="AJ77" i="11"/>
  <c r="F87" i="13" s="1"/>
  <c r="AJ69" i="11"/>
  <c r="F79" i="13" s="1"/>
  <c r="AJ61" i="11"/>
  <c r="F71" i="13" s="1"/>
  <c r="AJ53" i="11"/>
  <c r="F63" i="13" s="1"/>
  <c r="AJ45" i="11"/>
  <c r="F55" i="13" s="1"/>
  <c r="AJ37" i="11"/>
  <c r="F47" i="13" s="1"/>
  <c r="AJ29" i="11"/>
  <c r="F39" i="13" s="1"/>
  <c r="AJ124" i="11"/>
  <c r="F134" i="13" s="1"/>
  <c r="AJ120" i="11"/>
  <c r="F130" i="13" s="1"/>
  <c r="AJ116" i="11"/>
  <c r="F126" i="13" s="1"/>
  <c r="AJ112" i="11"/>
  <c r="F122" i="13" s="1"/>
  <c r="AJ108" i="11"/>
  <c r="F118" i="13" s="1"/>
  <c r="AJ104" i="11"/>
  <c r="F114" i="13" s="1"/>
  <c r="AJ100" i="11"/>
  <c r="F110" i="13" s="1"/>
  <c r="AJ96" i="11"/>
  <c r="F106" i="13" s="1"/>
  <c r="AJ92" i="11"/>
  <c r="F102" i="13" s="1"/>
  <c r="AJ88" i="11"/>
  <c r="F98" i="13" s="1"/>
  <c r="AJ84" i="11"/>
  <c r="F94" i="13" s="1"/>
  <c r="AJ80" i="11"/>
  <c r="F90" i="13" s="1"/>
  <c r="AJ76" i="11"/>
  <c r="F86" i="13" s="1"/>
  <c r="AJ72" i="11"/>
  <c r="F82" i="13" s="1"/>
  <c r="AJ68" i="11"/>
  <c r="F78" i="13" s="1"/>
  <c r="AJ64" i="11"/>
  <c r="F74" i="13" s="1"/>
  <c r="AJ60" i="11"/>
  <c r="F70" i="13" s="1"/>
  <c r="AJ56" i="11"/>
  <c r="F66" i="13" s="1"/>
  <c r="AJ52" i="11"/>
  <c r="F62" i="13" s="1"/>
  <c r="AJ48" i="11"/>
  <c r="F58" i="13" s="1"/>
  <c r="AJ44" i="11"/>
  <c r="F54" i="13" s="1"/>
  <c r="AJ40" i="11"/>
  <c r="F50" i="13" s="1"/>
  <c r="AJ36" i="11"/>
  <c r="F46" i="13" s="1"/>
  <c r="AJ32" i="11"/>
  <c r="F42" i="13" s="1"/>
  <c r="AJ28" i="11"/>
  <c r="F38" i="13" s="1"/>
  <c r="AJ122" i="11"/>
  <c r="F132" i="13" s="1"/>
  <c r="AJ118" i="11"/>
  <c r="F128" i="13" s="1"/>
  <c r="AJ114" i="11"/>
  <c r="F124" i="13" s="1"/>
  <c r="AJ110" i="11"/>
  <c r="F120" i="13" s="1"/>
  <c r="AJ106" i="11"/>
  <c r="F116" i="13" s="1"/>
  <c r="AJ102" i="11"/>
  <c r="F112" i="13" s="1"/>
  <c r="AJ98" i="11"/>
  <c r="F108" i="13" s="1"/>
  <c r="AJ94" i="11"/>
  <c r="F104" i="13" s="1"/>
  <c r="AJ90" i="11"/>
  <c r="F100" i="13" s="1"/>
  <c r="AJ86" i="11"/>
  <c r="F96" i="13" s="1"/>
  <c r="AJ82" i="11"/>
  <c r="F92" i="13" s="1"/>
  <c r="AJ78" i="11"/>
  <c r="F88" i="13" s="1"/>
  <c r="AJ74" i="11"/>
  <c r="F84" i="13" s="1"/>
  <c r="AJ70" i="11"/>
  <c r="F80" i="13" s="1"/>
  <c r="AJ66" i="11"/>
  <c r="F76" i="13" s="1"/>
  <c r="AJ58" i="11"/>
  <c r="F68" i="13" s="1"/>
  <c r="AJ50" i="11"/>
  <c r="F60" i="13" s="1"/>
  <c r="AJ46" i="11"/>
  <c r="F56" i="13" s="1"/>
  <c r="AJ42" i="11"/>
  <c r="F52" i="13" s="1"/>
  <c r="AJ38" i="11"/>
  <c r="F48" i="13" s="1"/>
  <c r="AJ34" i="11"/>
  <c r="F44" i="13" s="1"/>
  <c r="AJ30" i="11"/>
  <c r="F40" i="13" s="1"/>
  <c r="AJ26" i="11"/>
  <c r="F36" i="13" s="1"/>
  <c r="AJ22" i="11"/>
  <c r="F32" i="13" s="1"/>
  <c r="AJ21" i="11"/>
  <c r="AJ62"/>
  <c r="F72" i="13" s="1"/>
  <c r="AJ54" i="11"/>
  <c r="F64" i="13" s="1"/>
  <c r="AJ24" i="11"/>
  <c r="F34" i="13" s="1"/>
  <c r="AJ147" i="11"/>
  <c r="F157" i="13" s="1"/>
  <c r="G157" s="1"/>
  <c r="AJ139" i="11"/>
  <c r="F149" i="13" s="1"/>
  <c r="G149" s="1"/>
  <c r="AJ131" i="11"/>
  <c r="F141" i="13" s="1"/>
  <c r="G141" s="1"/>
  <c r="AJ123" i="11"/>
  <c r="F133" i="13" s="1"/>
  <c r="AJ115" i="11"/>
  <c r="F125" i="13" s="1"/>
  <c r="AJ107" i="11"/>
  <c r="F117" i="13" s="1"/>
  <c r="AJ99" i="11"/>
  <c r="F109" i="13" s="1"/>
  <c r="AJ91" i="11"/>
  <c r="F101" i="13" s="1"/>
  <c r="AJ83" i="11"/>
  <c r="F93" i="13" s="1"/>
  <c r="AJ75" i="11"/>
  <c r="F85" i="13" s="1"/>
  <c r="AJ67" i="11"/>
  <c r="F77" i="13" s="1"/>
  <c r="AJ59" i="11"/>
  <c r="F69" i="13" s="1"/>
  <c r="AJ51" i="11"/>
  <c r="F61" i="13" s="1"/>
  <c r="AJ43" i="11"/>
  <c r="F53" i="13" s="1"/>
  <c r="AJ35" i="11"/>
  <c r="F45" i="13" s="1"/>
  <c r="AJ27" i="11"/>
  <c r="F37" i="13" s="1"/>
  <c r="AJ153" i="11"/>
  <c r="AJ145"/>
  <c r="F155" i="13" s="1"/>
  <c r="G155" s="1"/>
  <c r="AJ137" i="11"/>
  <c r="F147" i="13" s="1"/>
  <c r="G147" s="1"/>
  <c r="AJ129" i="11"/>
  <c r="F139" i="13" s="1"/>
  <c r="G139" s="1"/>
  <c r="AJ121" i="11"/>
  <c r="F131" i="13" s="1"/>
  <c r="AJ113" i="11"/>
  <c r="F123" i="13" s="1"/>
  <c r="AJ105" i="11"/>
  <c r="F115" i="13" s="1"/>
  <c r="AJ97" i="11"/>
  <c r="F107" i="13" s="1"/>
  <c r="AJ89" i="11"/>
  <c r="F99" i="13" s="1"/>
  <c r="AJ81" i="11"/>
  <c r="F91" i="13" s="1"/>
  <c r="AJ73" i="11"/>
  <c r="F83" i="13" s="1"/>
  <c r="AJ65" i="11"/>
  <c r="F75" i="13" s="1"/>
  <c r="AJ57" i="11"/>
  <c r="F67" i="13" s="1"/>
  <c r="AJ49" i="11"/>
  <c r="F59" i="13" s="1"/>
  <c r="AJ41" i="11"/>
  <c r="F51" i="13" s="1"/>
  <c r="AJ33" i="11"/>
  <c r="F43" i="13" s="1"/>
  <c r="AJ25" i="11"/>
  <c r="F35" i="13" s="1"/>
  <c r="AJ151" i="11"/>
  <c r="F161" i="13" s="1"/>
  <c r="G161" s="1"/>
  <c r="AJ143" i="11"/>
  <c r="F153" i="13" s="1"/>
  <c r="G153" s="1"/>
  <c r="AJ135" i="11"/>
  <c r="F145" i="13" s="1"/>
  <c r="G145" s="1"/>
  <c r="AJ127" i="11"/>
  <c r="F137" i="13" s="1"/>
  <c r="G137" s="1"/>
  <c r="AJ119" i="11"/>
  <c r="F129" i="13" s="1"/>
  <c r="AJ111" i="11"/>
  <c r="F121" i="13" s="1"/>
  <c r="AJ103" i="11"/>
  <c r="F113" i="13" s="1"/>
  <c r="AJ95" i="11"/>
  <c r="F105" i="13" s="1"/>
  <c r="AJ87" i="11"/>
  <c r="F97" i="13" s="1"/>
  <c r="AJ79" i="11"/>
  <c r="F89" i="13" s="1"/>
  <c r="AJ71" i="11"/>
  <c r="F81" i="13" s="1"/>
  <c r="AJ63" i="11"/>
  <c r="F73" i="13" s="1"/>
  <c r="AJ55" i="11"/>
  <c r="F65" i="13" s="1"/>
  <c r="AJ47" i="11"/>
  <c r="F57" i="13" s="1"/>
  <c r="AJ39" i="11"/>
  <c r="F49" i="13" s="1"/>
  <c r="AJ31" i="11"/>
  <c r="F41" i="13" s="1"/>
  <c r="AJ23" i="11"/>
  <c r="F33" i="13" s="1"/>
  <c r="AP142" i="11"/>
  <c r="AR142" s="1"/>
  <c r="AP102"/>
  <c r="AR102" s="1"/>
  <c r="AP70"/>
  <c r="AR70" s="1"/>
  <c r="AP30"/>
  <c r="AR30" s="1"/>
  <c r="AQ106"/>
  <c r="AQ58"/>
  <c r="AQ42"/>
  <c r="AP117"/>
  <c r="AR117" s="1"/>
  <c r="AP69"/>
  <c r="AR69" s="1"/>
  <c r="AQ113"/>
  <c r="AP44"/>
  <c r="AR44" s="1"/>
  <c r="AQ152"/>
  <c r="AQ144"/>
  <c r="AQ136"/>
  <c r="AQ128"/>
  <c r="AQ120"/>
  <c r="AQ112"/>
  <c r="AQ104"/>
  <c r="AQ96"/>
  <c r="AQ88"/>
  <c r="AQ80"/>
  <c r="AQ72"/>
  <c r="AQ64"/>
  <c r="AQ56"/>
  <c r="AQ48"/>
  <c r="AQ40"/>
  <c r="AQ32"/>
  <c r="AQ24"/>
  <c r="AQ16"/>
  <c r="AP147"/>
  <c r="AR147" s="1"/>
  <c r="AP139"/>
  <c r="AR139" s="1"/>
  <c r="AP131"/>
  <c r="AR131" s="1"/>
  <c r="AP123"/>
  <c r="AR123" s="1"/>
  <c r="AP115"/>
  <c r="AR115" s="1"/>
  <c r="AP107"/>
  <c r="AR107" s="1"/>
  <c r="AP99"/>
  <c r="AR99" s="1"/>
  <c r="AP91"/>
  <c r="AR91" s="1"/>
  <c r="AP83"/>
  <c r="AR83" s="1"/>
  <c r="AP75"/>
  <c r="AR75" s="1"/>
  <c r="AP67"/>
  <c r="AR67" s="1"/>
  <c r="AP59"/>
  <c r="AR59" s="1"/>
  <c r="AP51"/>
  <c r="AR51" s="1"/>
  <c r="AP43"/>
  <c r="AR43" s="1"/>
  <c r="AP35"/>
  <c r="AR35" s="1"/>
  <c r="AP27"/>
  <c r="AR27" s="1"/>
  <c r="AP126"/>
  <c r="AR126" s="1"/>
  <c r="AP94"/>
  <c r="AR94" s="1"/>
  <c r="AP54"/>
  <c r="AR54" s="1"/>
  <c r="AQ154"/>
  <c r="AQ114"/>
  <c r="AQ66"/>
  <c r="AQ34"/>
  <c r="AP149"/>
  <c r="AR149" s="1"/>
  <c r="AP125"/>
  <c r="AR125" s="1"/>
  <c r="AP93"/>
  <c r="AR93" s="1"/>
  <c r="AP61"/>
  <c r="AR61" s="1"/>
  <c r="AP37"/>
  <c r="AR37" s="1"/>
  <c r="AQ151"/>
  <c r="AQ143"/>
  <c r="AQ135"/>
  <c r="AQ127"/>
  <c r="AQ119"/>
  <c r="AQ111"/>
  <c r="AQ103"/>
  <c r="AQ95"/>
  <c r="AQ87"/>
  <c r="AQ79"/>
  <c r="AQ71"/>
  <c r="AQ63"/>
  <c r="AQ55"/>
  <c r="AQ47"/>
  <c r="AQ39"/>
  <c r="AQ31"/>
  <c r="AQ23"/>
  <c r="AQ15"/>
  <c r="AP154"/>
  <c r="AR154" s="1"/>
  <c r="AP146"/>
  <c r="AR146" s="1"/>
  <c r="AP138"/>
  <c r="AR138" s="1"/>
  <c r="AP130"/>
  <c r="AR130" s="1"/>
  <c r="AP122"/>
  <c r="AR122" s="1"/>
  <c r="AP114"/>
  <c r="AR114" s="1"/>
  <c r="AP106"/>
  <c r="AR106" s="1"/>
  <c r="AP98"/>
  <c r="AR98" s="1"/>
  <c r="AP90"/>
  <c r="AR90" s="1"/>
  <c r="AP82"/>
  <c r="AR82" s="1"/>
  <c r="AP74"/>
  <c r="AR74" s="1"/>
  <c r="AP66"/>
  <c r="AR66" s="1"/>
  <c r="AP58"/>
  <c r="AR58" s="1"/>
  <c r="AP50"/>
  <c r="AR50" s="1"/>
  <c r="AP42"/>
  <c r="AR42" s="1"/>
  <c r="AP34"/>
  <c r="AR34" s="1"/>
  <c r="AP26"/>
  <c r="AR26" s="1"/>
  <c r="AP134"/>
  <c r="AR134" s="1"/>
  <c r="AP110"/>
  <c r="AR110" s="1"/>
  <c r="AP78"/>
  <c r="AR78" s="1"/>
  <c r="AP46"/>
  <c r="AR46" s="1"/>
  <c r="AP22"/>
  <c r="AR22" s="1"/>
  <c r="AQ146"/>
  <c r="AQ122"/>
  <c r="AQ90"/>
  <c r="AQ74"/>
  <c r="AQ50"/>
  <c r="AQ26"/>
  <c r="AP133"/>
  <c r="AR133" s="1"/>
  <c r="AP101"/>
  <c r="AR101" s="1"/>
  <c r="AP77"/>
  <c r="AR77" s="1"/>
  <c r="AP45"/>
  <c r="AR45" s="1"/>
  <c r="AP29"/>
  <c r="AR29" s="1"/>
  <c r="AQ153"/>
  <c r="AQ137"/>
  <c r="AQ121"/>
  <c r="AQ97"/>
  <c r="AQ73"/>
  <c r="AQ57"/>
  <c r="AQ17"/>
  <c r="AP148"/>
  <c r="AR148" s="1"/>
  <c r="AP132"/>
  <c r="AR132" s="1"/>
  <c r="AP116"/>
  <c r="AR116" s="1"/>
  <c r="AP100"/>
  <c r="AR100" s="1"/>
  <c r="AP92"/>
  <c r="AR92" s="1"/>
  <c r="AP76"/>
  <c r="AR76" s="1"/>
  <c r="AP60"/>
  <c r="AR60" s="1"/>
  <c r="AP36"/>
  <c r="AR36" s="1"/>
  <c r="AQ150"/>
  <c r="AQ142"/>
  <c r="AQ134"/>
  <c r="AQ126"/>
  <c r="AQ118"/>
  <c r="AQ110"/>
  <c r="AQ102"/>
  <c r="AQ94"/>
  <c r="AQ86"/>
  <c r="AQ78"/>
  <c r="AQ70"/>
  <c r="AQ62"/>
  <c r="AQ54"/>
  <c r="AQ46"/>
  <c r="AQ38"/>
  <c r="AQ30"/>
  <c r="AQ22"/>
  <c r="AQ14"/>
  <c r="AP153"/>
  <c r="AR153" s="1"/>
  <c r="AP145"/>
  <c r="AR145" s="1"/>
  <c r="AP137"/>
  <c r="AR137" s="1"/>
  <c r="AP129"/>
  <c r="AR129" s="1"/>
  <c r="AP121"/>
  <c r="AR121" s="1"/>
  <c r="AP113"/>
  <c r="AR113" s="1"/>
  <c r="AP105"/>
  <c r="AR105" s="1"/>
  <c r="AP97"/>
  <c r="AR97" s="1"/>
  <c r="AP89"/>
  <c r="AR89" s="1"/>
  <c r="AP81"/>
  <c r="AR81" s="1"/>
  <c r="AP73"/>
  <c r="AR73" s="1"/>
  <c r="AP65"/>
  <c r="AR65" s="1"/>
  <c r="AP57"/>
  <c r="AR57" s="1"/>
  <c r="AP49"/>
  <c r="AR49" s="1"/>
  <c r="AP41"/>
  <c r="AR41" s="1"/>
  <c r="AP33"/>
  <c r="AR33" s="1"/>
  <c r="AP25"/>
  <c r="AR25" s="1"/>
  <c r="AQ53"/>
  <c r="AQ45"/>
  <c r="AQ37"/>
  <c r="AQ29"/>
  <c r="AQ21"/>
  <c r="AQ13"/>
  <c r="AP152"/>
  <c r="AR152" s="1"/>
  <c r="AP144"/>
  <c r="AR144" s="1"/>
  <c r="AP136"/>
  <c r="AR136" s="1"/>
  <c r="AP128"/>
  <c r="AR128" s="1"/>
  <c r="AP120"/>
  <c r="AR120" s="1"/>
  <c r="AP112"/>
  <c r="AR112" s="1"/>
  <c r="AP104"/>
  <c r="AR104" s="1"/>
  <c r="AP96"/>
  <c r="AR96" s="1"/>
  <c r="AP88"/>
  <c r="AR88" s="1"/>
  <c r="AP80"/>
  <c r="AR80" s="1"/>
  <c r="AP72"/>
  <c r="AR72" s="1"/>
  <c r="AP64"/>
  <c r="AR64" s="1"/>
  <c r="AP56"/>
  <c r="AR56" s="1"/>
  <c r="AP48"/>
  <c r="AR48" s="1"/>
  <c r="AP40"/>
  <c r="AR40" s="1"/>
  <c r="AP32"/>
  <c r="AR32" s="1"/>
  <c r="AP24"/>
  <c r="AR24" s="1"/>
  <c r="AP150"/>
  <c r="AR150" s="1"/>
  <c r="AP118"/>
  <c r="AR118" s="1"/>
  <c r="AP86"/>
  <c r="AR86" s="1"/>
  <c r="AP62"/>
  <c r="AR62" s="1"/>
  <c r="AP38"/>
  <c r="AR38" s="1"/>
  <c r="AQ138"/>
  <c r="AQ130"/>
  <c r="AQ98"/>
  <c r="AQ82"/>
  <c r="AQ18"/>
  <c r="AP141"/>
  <c r="AR141" s="1"/>
  <c r="AP109"/>
  <c r="AR109" s="1"/>
  <c r="AP85"/>
  <c r="AR85" s="1"/>
  <c r="AP53"/>
  <c r="AR53" s="1"/>
  <c r="AP21"/>
  <c r="AR21" s="1"/>
  <c r="AQ145"/>
  <c r="AQ129"/>
  <c r="AQ105"/>
  <c r="AQ89"/>
  <c r="AQ81"/>
  <c r="AQ65"/>
  <c r="AQ49"/>
  <c r="AQ41"/>
  <c r="AQ33"/>
  <c r="AQ25"/>
  <c r="AP140"/>
  <c r="AR140" s="1"/>
  <c r="AP124"/>
  <c r="AR124" s="1"/>
  <c r="AP108"/>
  <c r="AR108" s="1"/>
  <c r="AP84"/>
  <c r="AR84" s="1"/>
  <c r="AP68"/>
  <c r="AR68" s="1"/>
  <c r="AP52"/>
  <c r="AR52" s="1"/>
  <c r="AP28"/>
  <c r="AR28" s="1"/>
  <c r="AQ149"/>
  <c r="AQ141"/>
  <c r="AQ133"/>
  <c r="AQ125"/>
  <c r="AQ117"/>
  <c r="AQ109"/>
  <c r="AQ101"/>
  <c r="AQ93"/>
  <c r="AQ85"/>
  <c r="AQ77"/>
  <c r="AQ69"/>
  <c r="AQ148"/>
  <c r="AQ140"/>
  <c r="AQ132"/>
  <c r="AQ124"/>
  <c r="AQ116"/>
  <c r="AQ108"/>
  <c r="AQ100"/>
  <c r="AQ92"/>
  <c r="AQ84"/>
  <c r="AQ76"/>
  <c r="AQ68"/>
  <c r="AQ60"/>
  <c r="AQ52"/>
  <c r="AQ44"/>
  <c r="AQ36"/>
  <c r="AQ28"/>
  <c r="AQ20"/>
  <c r="AP151"/>
  <c r="AR151" s="1"/>
  <c r="AP143"/>
  <c r="AR143" s="1"/>
  <c r="AP135"/>
  <c r="AR135" s="1"/>
  <c r="AP127"/>
  <c r="AR127" s="1"/>
  <c r="AP119"/>
  <c r="AR119" s="1"/>
  <c r="AP111"/>
  <c r="AR111" s="1"/>
  <c r="AP103"/>
  <c r="AR103" s="1"/>
  <c r="AP95"/>
  <c r="AR95" s="1"/>
  <c r="AP87"/>
  <c r="AR87" s="1"/>
  <c r="AP79"/>
  <c r="AR79" s="1"/>
  <c r="AP71"/>
  <c r="AR71" s="1"/>
  <c r="AP63"/>
  <c r="AR63" s="1"/>
  <c r="AP55"/>
  <c r="AR55" s="1"/>
  <c r="AP47"/>
  <c r="AR47" s="1"/>
  <c r="AP39"/>
  <c r="AR39" s="1"/>
  <c r="AP31"/>
  <c r="AR31" s="1"/>
  <c r="AP23"/>
  <c r="AR23" s="1"/>
  <c r="AM5"/>
  <c r="H34" i="7" s="1"/>
  <c r="F5" i="11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C5"/>
  <c r="F12" i="7" s="1"/>
  <c r="D5" i="11"/>
  <c r="E5"/>
  <c r="E15" i="13" s="1"/>
  <c r="C6" i="11"/>
  <c r="D6"/>
  <c r="E6"/>
  <c r="C7"/>
  <c r="D7"/>
  <c r="E7"/>
  <c r="E17" i="13" s="1"/>
  <c r="C8" i="11"/>
  <c r="D8"/>
  <c r="E8"/>
  <c r="C9"/>
  <c r="D9"/>
  <c r="E9"/>
  <c r="E19" i="13" s="1"/>
  <c r="C10" i="11"/>
  <c r="C20" i="13" s="1"/>
  <c r="D10" i="11"/>
  <c r="D20" i="13" s="1"/>
  <c r="E10" i="11"/>
  <c r="E20" i="13" s="1"/>
  <c r="C11" i="11"/>
  <c r="C21" i="13" s="1"/>
  <c r="D11" i="11"/>
  <c r="D21" i="13" s="1"/>
  <c r="E11" i="11"/>
  <c r="E21" i="13" s="1"/>
  <c r="C12" i="11"/>
  <c r="C22" i="13" s="1"/>
  <c r="D12" i="11"/>
  <c r="D22" i="13" s="1"/>
  <c r="E12" i="11"/>
  <c r="E22" i="13" s="1"/>
  <c r="C13" i="11"/>
  <c r="C23" i="13" s="1"/>
  <c r="D13" i="11"/>
  <c r="D23" i="13" s="1"/>
  <c r="E13" i="11"/>
  <c r="E23" i="13" s="1"/>
  <c r="C14" i="11"/>
  <c r="C24" i="13" s="1"/>
  <c r="D14" i="11"/>
  <c r="D24" i="13" s="1"/>
  <c r="E14" i="11"/>
  <c r="C15"/>
  <c r="C25" i="13" s="1"/>
  <c r="D15" i="11"/>
  <c r="D25" i="13" s="1"/>
  <c r="E15" i="11"/>
  <c r="E25" i="13" s="1"/>
  <c r="C16" i="11"/>
  <c r="C26" i="13" s="1"/>
  <c r="D16" i="11"/>
  <c r="D26" i="13" s="1"/>
  <c r="E16" i="11"/>
  <c r="C17"/>
  <c r="C27" i="13" s="1"/>
  <c r="D17" i="11"/>
  <c r="D27" i="13" s="1"/>
  <c r="E17" i="11"/>
  <c r="E27" i="13" s="1"/>
  <c r="C18" i="11"/>
  <c r="C28" i="13" s="1"/>
  <c r="D18" i="11"/>
  <c r="D28" i="13" s="1"/>
  <c r="E18" i="11"/>
  <c r="E28" i="13" s="1"/>
  <c r="C19" i="11"/>
  <c r="C29" i="13" s="1"/>
  <c r="D19" i="11"/>
  <c r="D29" i="13" s="1"/>
  <c r="E19" i="11"/>
  <c r="E29" i="13" s="1"/>
  <c r="C20" i="11"/>
  <c r="C30" i="13" s="1"/>
  <c r="D20" i="11"/>
  <c r="D30" i="13" s="1"/>
  <c r="E20" i="11"/>
  <c r="E30" i="13" s="1"/>
  <c r="C21" i="11"/>
  <c r="C31" i="13" s="1"/>
  <c r="D21" i="11"/>
  <c r="D31" i="13" s="1"/>
  <c r="E21" i="11"/>
  <c r="E31" i="13" s="1"/>
  <c r="C22" i="11"/>
  <c r="C32" i="13" s="1"/>
  <c r="D22" i="11"/>
  <c r="D32" i="13" s="1"/>
  <c r="E22" i="11"/>
  <c r="E32" i="13" s="1"/>
  <c r="C23" i="11"/>
  <c r="C33" i="13" s="1"/>
  <c r="D23" i="11"/>
  <c r="D33" i="13" s="1"/>
  <c r="E23" i="11"/>
  <c r="E33" i="13" s="1"/>
  <c r="C24" i="11"/>
  <c r="C34" i="13" s="1"/>
  <c r="D24" i="11"/>
  <c r="D34" i="13" s="1"/>
  <c r="E24" i="11"/>
  <c r="E34" i="13" s="1"/>
  <c r="C25" i="11"/>
  <c r="C35" i="13" s="1"/>
  <c r="D25" i="11"/>
  <c r="D35" i="13" s="1"/>
  <c r="E25" i="11"/>
  <c r="E35" i="13" s="1"/>
  <c r="C26" i="11"/>
  <c r="C36" i="13" s="1"/>
  <c r="D26" i="11"/>
  <c r="D36" i="13" s="1"/>
  <c r="E26" i="11"/>
  <c r="E36" i="13" s="1"/>
  <c r="C27" i="11"/>
  <c r="C37" i="13" s="1"/>
  <c r="D27" i="11"/>
  <c r="D37" i="13" s="1"/>
  <c r="E27" i="11"/>
  <c r="E37" i="13" s="1"/>
  <c r="C28" i="11"/>
  <c r="C38" i="13" s="1"/>
  <c r="D28" i="11"/>
  <c r="D38" i="13" s="1"/>
  <c r="E28" i="11"/>
  <c r="E38" i="13" s="1"/>
  <c r="C29" i="11"/>
  <c r="C39" i="13" s="1"/>
  <c r="D29" i="11"/>
  <c r="D39" i="13" s="1"/>
  <c r="E29" i="11"/>
  <c r="E39" i="13" s="1"/>
  <c r="C30" i="11"/>
  <c r="C40" i="13" s="1"/>
  <c r="D30" i="11"/>
  <c r="D40" i="13" s="1"/>
  <c r="E30" i="11"/>
  <c r="E40" i="13" s="1"/>
  <c r="C31" i="11"/>
  <c r="C41" i="13" s="1"/>
  <c r="D31" i="11"/>
  <c r="D41" i="13" s="1"/>
  <c r="E31" i="11"/>
  <c r="E41" i="13" s="1"/>
  <c r="C32" i="11"/>
  <c r="C42" i="13" s="1"/>
  <c r="D32" i="11"/>
  <c r="D42" i="13" s="1"/>
  <c r="E32" i="11"/>
  <c r="E42" i="13" s="1"/>
  <c r="C33" i="11"/>
  <c r="C43" i="13" s="1"/>
  <c r="D33" i="11"/>
  <c r="D43" i="13" s="1"/>
  <c r="E33" i="11"/>
  <c r="E43" i="13" s="1"/>
  <c r="C34" i="11"/>
  <c r="C44" i="13" s="1"/>
  <c r="D34" i="11"/>
  <c r="D44" i="13" s="1"/>
  <c r="E34" i="11"/>
  <c r="E44" i="13" s="1"/>
  <c r="C35" i="11"/>
  <c r="C45" i="13" s="1"/>
  <c r="D35" i="11"/>
  <c r="D45" i="13" s="1"/>
  <c r="E35" i="11"/>
  <c r="E45" i="13" s="1"/>
  <c r="C36" i="11"/>
  <c r="C46" i="13" s="1"/>
  <c r="D36" i="11"/>
  <c r="D46" i="13" s="1"/>
  <c r="E36" i="11"/>
  <c r="E46" i="13" s="1"/>
  <c r="C37" i="11"/>
  <c r="C47" i="13" s="1"/>
  <c r="D37" i="11"/>
  <c r="D47" i="13" s="1"/>
  <c r="E37" i="11"/>
  <c r="E47" i="13" s="1"/>
  <c r="C38" i="11"/>
  <c r="C48" i="13" s="1"/>
  <c r="D38" i="11"/>
  <c r="D48" i="13" s="1"/>
  <c r="E38" i="11"/>
  <c r="E48" i="13" s="1"/>
  <c r="C39" i="11"/>
  <c r="C49" i="13" s="1"/>
  <c r="D39" i="11"/>
  <c r="D49" i="13" s="1"/>
  <c r="E39" i="11"/>
  <c r="E49" i="13" s="1"/>
  <c r="C40" i="11"/>
  <c r="C50" i="13" s="1"/>
  <c r="D40" i="11"/>
  <c r="D50" i="13" s="1"/>
  <c r="E40" i="11"/>
  <c r="E50" i="13" s="1"/>
  <c r="C41" i="11"/>
  <c r="C51" i="13" s="1"/>
  <c r="D41" i="11"/>
  <c r="D51" i="13" s="1"/>
  <c r="E41" i="11"/>
  <c r="E51" i="13" s="1"/>
  <c r="C42" i="11"/>
  <c r="C52" i="13" s="1"/>
  <c r="D42" i="11"/>
  <c r="D52" i="13" s="1"/>
  <c r="E42" i="11"/>
  <c r="E52" i="13" s="1"/>
  <c r="C43" i="11"/>
  <c r="C53" i="13" s="1"/>
  <c r="D43" i="11"/>
  <c r="D53" i="13" s="1"/>
  <c r="E43" i="11"/>
  <c r="E53" i="13" s="1"/>
  <c r="C44" i="11"/>
  <c r="C54" i="13" s="1"/>
  <c r="D44" i="11"/>
  <c r="D54" i="13" s="1"/>
  <c r="E44" i="11"/>
  <c r="E54" i="13" s="1"/>
  <c r="C45" i="11"/>
  <c r="C55" i="13" s="1"/>
  <c r="D45" i="11"/>
  <c r="D55" i="13" s="1"/>
  <c r="E45" i="11"/>
  <c r="E55" i="13" s="1"/>
  <c r="C46" i="11"/>
  <c r="C56" i="13" s="1"/>
  <c r="D46" i="11"/>
  <c r="D56" i="13" s="1"/>
  <c r="E46" i="11"/>
  <c r="E56" i="13" s="1"/>
  <c r="C47" i="11"/>
  <c r="C57" i="13" s="1"/>
  <c r="D47" i="11"/>
  <c r="D57" i="13" s="1"/>
  <c r="E47" i="11"/>
  <c r="E57" i="13" s="1"/>
  <c r="C48" i="11"/>
  <c r="C58" i="13" s="1"/>
  <c r="D48" i="11"/>
  <c r="D58" i="13" s="1"/>
  <c r="E48" i="11"/>
  <c r="E58" i="13" s="1"/>
  <c r="C49" i="11"/>
  <c r="C59" i="13" s="1"/>
  <c r="D49" i="11"/>
  <c r="D59" i="13" s="1"/>
  <c r="E49" i="11"/>
  <c r="E59" i="13" s="1"/>
  <c r="C50" i="11"/>
  <c r="C60" i="13" s="1"/>
  <c r="D50" i="11"/>
  <c r="D60" i="13" s="1"/>
  <c r="E50" i="11"/>
  <c r="E60" i="13" s="1"/>
  <c r="C51" i="11"/>
  <c r="C61" i="13" s="1"/>
  <c r="D51" i="11"/>
  <c r="D61" i="13" s="1"/>
  <c r="E51" i="11"/>
  <c r="E61" i="13" s="1"/>
  <c r="C52" i="11"/>
  <c r="C62" i="13" s="1"/>
  <c r="D52" i="11"/>
  <c r="D62" i="13" s="1"/>
  <c r="E52" i="11"/>
  <c r="E62" i="13" s="1"/>
  <c r="C53" i="11"/>
  <c r="C63" i="13" s="1"/>
  <c r="D53" i="11"/>
  <c r="D63" i="13" s="1"/>
  <c r="E53" i="11"/>
  <c r="E63" i="13" s="1"/>
  <c r="C54" i="11"/>
  <c r="C64" i="13" s="1"/>
  <c r="D54" i="11"/>
  <c r="D64" i="13" s="1"/>
  <c r="E54" i="11"/>
  <c r="E64" i="13" s="1"/>
  <c r="C55" i="11"/>
  <c r="C65" i="13" s="1"/>
  <c r="D55" i="11"/>
  <c r="D65" i="13" s="1"/>
  <c r="E55" i="11"/>
  <c r="E65" i="13" s="1"/>
  <c r="C56" i="11"/>
  <c r="C66" i="13" s="1"/>
  <c r="D56" i="11"/>
  <c r="D66" i="13" s="1"/>
  <c r="E56" i="11"/>
  <c r="E66" i="13" s="1"/>
  <c r="C57" i="11"/>
  <c r="C67" i="13" s="1"/>
  <c r="D57" i="11"/>
  <c r="D67" i="13" s="1"/>
  <c r="E57" i="11"/>
  <c r="E67" i="13" s="1"/>
  <c r="C58" i="11"/>
  <c r="C68" i="13" s="1"/>
  <c r="D58" i="11"/>
  <c r="D68" i="13" s="1"/>
  <c r="E58" i="11"/>
  <c r="E68" i="13" s="1"/>
  <c r="C59" i="11"/>
  <c r="C69" i="13" s="1"/>
  <c r="D59" i="11"/>
  <c r="D69" i="13" s="1"/>
  <c r="E59" i="11"/>
  <c r="E69" i="13" s="1"/>
  <c r="C60" i="11"/>
  <c r="C70" i="13" s="1"/>
  <c r="D60" i="11"/>
  <c r="D70" i="13" s="1"/>
  <c r="E60" i="11"/>
  <c r="E70" i="13" s="1"/>
  <c r="C61" i="11"/>
  <c r="C71" i="13" s="1"/>
  <c r="D61" i="11"/>
  <c r="D71" i="13" s="1"/>
  <c r="E61" i="11"/>
  <c r="E71" i="13" s="1"/>
  <c r="C62" i="11"/>
  <c r="C72" i="13" s="1"/>
  <c r="D62" i="11"/>
  <c r="D72" i="13" s="1"/>
  <c r="E62" i="11"/>
  <c r="E72" i="13" s="1"/>
  <c r="C63" i="11"/>
  <c r="C73" i="13" s="1"/>
  <c r="D63" i="11"/>
  <c r="D73" i="13" s="1"/>
  <c r="E63" i="11"/>
  <c r="E73" i="13" s="1"/>
  <c r="C64" i="11"/>
  <c r="C74" i="13" s="1"/>
  <c r="D64" i="11"/>
  <c r="D74" i="13" s="1"/>
  <c r="E64" i="11"/>
  <c r="E74" i="13" s="1"/>
  <c r="C65" i="11"/>
  <c r="C75" i="13" s="1"/>
  <c r="D65" i="11"/>
  <c r="D75" i="13" s="1"/>
  <c r="E65" i="11"/>
  <c r="E75" i="13" s="1"/>
  <c r="C66" i="11"/>
  <c r="C76" i="13" s="1"/>
  <c r="D66" i="11"/>
  <c r="D76" i="13" s="1"/>
  <c r="E66" i="11"/>
  <c r="E76" i="13" s="1"/>
  <c r="C67" i="11"/>
  <c r="C77" i="13" s="1"/>
  <c r="D67" i="11"/>
  <c r="D77" i="13" s="1"/>
  <c r="E67" i="11"/>
  <c r="E77" i="13" s="1"/>
  <c r="C68" i="11"/>
  <c r="C78" i="13" s="1"/>
  <c r="D68" i="11"/>
  <c r="D78" i="13" s="1"/>
  <c r="E68" i="11"/>
  <c r="E78" i="13" s="1"/>
  <c r="C69" i="11"/>
  <c r="C79" i="13" s="1"/>
  <c r="D69" i="11"/>
  <c r="D79" i="13" s="1"/>
  <c r="E69" i="11"/>
  <c r="E79" i="13" s="1"/>
  <c r="C70" i="11"/>
  <c r="C80" i="13" s="1"/>
  <c r="D70" i="11"/>
  <c r="D80" i="13" s="1"/>
  <c r="E70" i="11"/>
  <c r="E80" i="13" s="1"/>
  <c r="C71" i="11"/>
  <c r="C81" i="13" s="1"/>
  <c r="D71" i="11"/>
  <c r="D81" i="13" s="1"/>
  <c r="E71" i="11"/>
  <c r="E81" i="13" s="1"/>
  <c r="C72" i="11"/>
  <c r="C82" i="13" s="1"/>
  <c r="D72" i="11"/>
  <c r="D82" i="13" s="1"/>
  <c r="E72" i="11"/>
  <c r="E82" i="13" s="1"/>
  <c r="C73" i="11"/>
  <c r="C83" i="13" s="1"/>
  <c r="D73" i="11"/>
  <c r="D83" i="13" s="1"/>
  <c r="E73" i="11"/>
  <c r="E83" i="13" s="1"/>
  <c r="C74" i="11"/>
  <c r="C84" i="13" s="1"/>
  <c r="D74" i="11"/>
  <c r="D84" i="13" s="1"/>
  <c r="E74" i="11"/>
  <c r="E84" i="13" s="1"/>
  <c r="C75" i="11"/>
  <c r="C85" i="13" s="1"/>
  <c r="D75" i="11"/>
  <c r="D85" i="13" s="1"/>
  <c r="E75" i="11"/>
  <c r="E85" i="13" s="1"/>
  <c r="C76" i="11"/>
  <c r="C86" i="13" s="1"/>
  <c r="D76" i="11"/>
  <c r="D86" i="13" s="1"/>
  <c r="E76" i="11"/>
  <c r="E86" i="13" s="1"/>
  <c r="C77" i="11"/>
  <c r="C87" i="13" s="1"/>
  <c r="D77" i="11"/>
  <c r="D87" i="13" s="1"/>
  <c r="E77" i="11"/>
  <c r="E87" i="13" s="1"/>
  <c r="C78" i="11"/>
  <c r="C88" i="13" s="1"/>
  <c r="D78" i="11"/>
  <c r="D88" i="13" s="1"/>
  <c r="E78" i="11"/>
  <c r="E88" i="13" s="1"/>
  <c r="C79" i="11"/>
  <c r="C89" i="13" s="1"/>
  <c r="D79" i="11"/>
  <c r="D89" i="13" s="1"/>
  <c r="E79" i="11"/>
  <c r="E89" i="13" s="1"/>
  <c r="C80" i="11"/>
  <c r="C90" i="13" s="1"/>
  <c r="D80" i="11"/>
  <c r="D90" i="13" s="1"/>
  <c r="E80" i="11"/>
  <c r="E90" i="13" s="1"/>
  <c r="C81" i="11"/>
  <c r="C91" i="13" s="1"/>
  <c r="D81" i="11"/>
  <c r="D91" i="13" s="1"/>
  <c r="E81" i="11"/>
  <c r="E91" i="13" s="1"/>
  <c r="C82" i="11"/>
  <c r="C92" i="13" s="1"/>
  <c r="D82" i="11"/>
  <c r="D92" i="13" s="1"/>
  <c r="E82" i="11"/>
  <c r="E92" i="13" s="1"/>
  <c r="C83" i="11"/>
  <c r="C93" i="13" s="1"/>
  <c r="D83" i="11"/>
  <c r="D93" i="13" s="1"/>
  <c r="E83" i="11"/>
  <c r="E93" i="13" s="1"/>
  <c r="C84" i="11"/>
  <c r="C94" i="13" s="1"/>
  <c r="D84" i="11"/>
  <c r="D94" i="13" s="1"/>
  <c r="E84" i="11"/>
  <c r="E94" i="13" s="1"/>
  <c r="C85" i="11"/>
  <c r="C95" i="13" s="1"/>
  <c r="D85" i="11"/>
  <c r="D95" i="13" s="1"/>
  <c r="E85" i="11"/>
  <c r="E95" i="13" s="1"/>
  <c r="C86" i="11"/>
  <c r="C96" i="13" s="1"/>
  <c r="D86" i="11"/>
  <c r="D96" i="13" s="1"/>
  <c r="E86" i="11"/>
  <c r="E96" i="13" s="1"/>
  <c r="C87" i="11"/>
  <c r="C97" i="13" s="1"/>
  <c r="D87" i="11"/>
  <c r="D97" i="13" s="1"/>
  <c r="E87" i="11"/>
  <c r="E97" i="13" s="1"/>
  <c r="C88" i="11"/>
  <c r="C98" i="13" s="1"/>
  <c r="D88" i="11"/>
  <c r="D98" i="13" s="1"/>
  <c r="E88" i="11"/>
  <c r="E98" i="13" s="1"/>
  <c r="C89" i="11"/>
  <c r="C99" i="13" s="1"/>
  <c r="D89" i="11"/>
  <c r="D99" i="13" s="1"/>
  <c r="E89" i="11"/>
  <c r="E99" i="13" s="1"/>
  <c r="C90" i="11"/>
  <c r="C100" i="13" s="1"/>
  <c r="D90" i="11"/>
  <c r="D100" i="13" s="1"/>
  <c r="E90" i="11"/>
  <c r="E100" i="13" s="1"/>
  <c r="C91" i="11"/>
  <c r="C101" i="13" s="1"/>
  <c r="D91" i="11"/>
  <c r="D101" i="13" s="1"/>
  <c r="E91" i="11"/>
  <c r="E101" i="13" s="1"/>
  <c r="C92" i="11"/>
  <c r="C102" i="13" s="1"/>
  <c r="D92" i="11"/>
  <c r="D102" i="13" s="1"/>
  <c r="E92" i="11"/>
  <c r="E102" i="13" s="1"/>
  <c r="C93" i="11"/>
  <c r="C103" i="13" s="1"/>
  <c r="D93" i="11"/>
  <c r="D103" i="13" s="1"/>
  <c r="E93" i="11"/>
  <c r="E103" i="13" s="1"/>
  <c r="C94" i="11"/>
  <c r="C104" i="13" s="1"/>
  <c r="D94" i="11"/>
  <c r="D104" i="13" s="1"/>
  <c r="E94" i="11"/>
  <c r="E104" i="13" s="1"/>
  <c r="C95" i="11"/>
  <c r="C105" i="13" s="1"/>
  <c r="D95" i="11"/>
  <c r="D105" i="13" s="1"/>
  <c r="E95" i="11"/>
  <c r="E105" i="13" s="1"/>
  <c r="C96" i="11"/>
  <c r="C106" i="13" s="1"/>
  <c r="D96" i="11"/>
  <c r="D106" i="13" s="1"/>
  <c r="E96" i="11"/>
  <c r="E106" i="13" s="1"/>
  <c r="C97" i="11"/>
  <c r="C107" i="13" s="1"/>
  <c r="D97" i="11"/>
  <c r="D107" i="13" s="1"/>
  <c r="E97" i="11"/>
  <c r="E107" i="13" s="1"/>
  <c r="C98" i="11"/>
  <c r="C108" i="13" s="1"/>
  <c r="D98" i="11"/>
  <c r="D108" i="13" s="1"/>
  <c r="E98" i="11"/>
  <c r="E108" i="13" s="1"/>
  <c r="C99" i="11"/>
  <c r="C109" i="13" s="1"/>
  <c r="D99" i="11"/>
  <c r="D109" i="13" s="1"/>
  <c r="E99" i="11"/>
  <c r="E109" i="13" s="1"/>
  <c r="C100" i="11"/>
  <c r="C110" i="13" s="1"/>
  <c r="D100" i="11"/>
  <c r="D110" i="13" s="1"/>
  <c r="E100" i="11"/>
  <c r="E110" i="13" s="1"/>
  <c r="C101" i="11"/>
  <c r="C111" i="13" s="1"/>
  <c r="D101" i="11"/>
  <c r="D111" i="13" s="1"/>
  <c r="E101" i="11"/>
  <c r="E111" i="13" s="1"/>
  <c r="C102" i="11"/>
  <c r="C112" i="13" s="1"/>
  <c r="D102" i="11"/>
  <c r="D112" i="13" s="1"/>
  <c r="E102" i="11"/>
  <c r="E112" i="13" s="1"/>
  <c r="C103" i="11"/>
  <c r="C113" i="13" s="1"/>
  <c r="D103" i="11"/>
  <c r="D113" i="13" s="1"/>
  <c r="E103" i="11"/>
  <c r="E113" i="13" s="1"/>
  <c r="C104" i="11"/>
  <c r="C114" i="13" s="1"/>
  <c r="D104" i="11"/>
  <c r="D114" i="13" s="1"/>
  <c r="E104" i="11"/>
  <c r="E114" i="13" s="1"/>
  <c r="C105" i="11"/>
  <c r="C115" i="13" s="1"/>
  <c r="D105" i="11"/>
  <c r="D115" i="13" s="1"/>
  <c r="E105" i="11"/>
  <c r="E115" i="13" s="1"/>
  <c r="C106" i="11"/>
  <c r="C116" i="13" s="1"/>
  <c r="D106" i="11"/>
  <c r="D116" i="13" s="1"/>
  <c r="E106" i="11"/>
  <c r="E116" i="13" s="1"/>
  <c r="C107" i="11"/>
  <c r="C117" i="13" s="1"/>
  <c r="D107" i="11"/>
  <c r="D117" i="13" s="1"/>
  <c r="E107" i="11"/>
  <c r="E117" i="13" s="1"/>
  <c r="C108" i="11"/>
  <c r="C118" i="13" s="1"/>
  <c r="D108" i="11"/>
  <c r="D118" i="13" s="1"/>
  <c r="E108" i="11"/>
  <c r="E118" i="13" s="1"/>
  <c r="C109" i="11"/>
  <c r="C119" i="13" s="1"/>
  <c r="D109" i="11"/>
  <c r="D119" i="13" s="1"/>
  <c r="E109" i="11"/>
  <c r="E119" i="13" s="1"/>
  <c r="C110" i="11"/>
  <c r="C120" i="13" s="1"/>
  <c r="D110" i="11"/>
  <c r="D120" i="13" s="1"/>
  <c r="E110" i="11"/>
  <c r="E120" i="13" s="1"/>
  <c r="C111" i="11"/>
  <c r="C121" i="13" s="1"/>
  <c r="D111" i="11"/>
  <c r="D121" i="13" s="1"/>
  <c r="E111" i="11"/>
  <c r="E121" i="13" s="1"/>
  <c r="C112" i="11"/>
  <c r="C122" i="13" s="1"/>
  <c r="D112" i="11"/>
  <c r="D122" i="13" s="1"/>
  <c r="E112" i="11"/>
  <c r="E122" i="13" s="1"/>
  <c r="C113" i="11"/>
  <c r="C123" i="13" s="1"/>
  <c r="D113" i="11"/>
  <c r="D123" i="13" s="1"/>
  <c r="E113" i="11"/>
  <c r="E123" i="13" s="1"/>
  <c r="C114" i="11"/>
  <c r="C124" i="13" s="1"/>
  <c r="D114" i="11"/>
  <c r="D124" i="13" s="1"/>
  <c r="E114" i="11"/>
  <c r="E124" i="13" s="1"/>
  <c r="C115" i="11"/>
  <c r="C125" i="13" s="1"/>
  <c r="D115" i="11"/>
  <c r="D125" i="13" s="1"/>
  <c r="E115" i="11"/>
  <c r="E125" i="13" s="1"/>
  <c r="C116" i="11"/>
  <c r="C126" i="13" s="1"/>
  <c r="D116" i="11"/>
  <c r="D126" i="13" s="1"/>
  <c r="E116" i="11"/>
  <c r="E126" i="13" s="1"/>
  <c r="C117" i="11"/>
  <c r="C127" i="13" s="1"/>
  <c r="D117" i="11"/>
  <c r="D127" i="13" s="1"/>
  <c r="E117" i="11"/>
  <c r="E127" i="13" s="1"/>
  <c r="C118" i="11"/>
  <c r="C128" i="13" s="1"/>
  <c r="D118" i="11"/>
  <c r="D128" i="13" s="1"/>
  <c r="E118" i="11"/>
  <c r="E128" i="13" s="1"/>
  <c r="C119" i="11"/>
  <c r="C129" i="13" s="1"/>
  <c r="D119" i="11"/>
  <c r="D129" i="13" s="1"/>
  <c r="E119" i="11"/>
  <c r="E129" i="13" s="1"/>
  <c r="C120" i="11"/>
  <c r="C130" i="13" s="1"/>
  <c r="D120" i="11"/>
  <c r="D130" i="13" s="1"/>
  <c r="E120" i="11"/>
  <c r="E130" i="13" s="1"/>
  <c r="C121" i="11"/>
  <c r="C131" i="13" s="1"/>
  <c r="D121" i="11"/>
  <c r="D131" i="13" s="1"/>
  <c r="E121" i="11"/>
  <c r="E131" i="13" s="1"/>
  <c r="C122" i="11"/>
  <c r="C132" i="13" s="1"/>
  <c r="D122" i="11"/>
  <c r="D132" i="13" s="1"/>
  <c r="E122" i="11"/>
  <c r="E132" i="13" s="1"/>
  <c r="C123" i="11"/>
  <c r="C133" i="13" s="1"/>
  <c r="D123" i="11"/>
  <c r="D133" i="13" s="1"/>
  <c r="E123" i="11"/>
  <c r="E133" i="13" s="1"/>
  <c r="C124" i="11"/>
  <c r="C134" i="13" s="1"/>
  <c r="D124" i="11"/>
  <c r="D134" i="13" s="1"/>
  <c r="E124" i="11"/>
  <c r="E134" i="13" s="1"/>
  <c r="C125" i="11"/>
  <c r="C135" i="13" s="1"/>
  <c r="D125" i="11"/>
  <c r="D135" i="13" s="1"/>
  <c r="E125" i="11"/>
  <c r="E135" i="13" s="1"/>
  <c r="C126" i="11"/>
  <c r="C136" i="13" s="1"/>
  <c r="D126" i="11"/>
  <c r="D136" i="13" s="1"/>
  <c r="E126" i="11"/>
  <c r="E136" i="13" s="1"/>
  <c r="C127" i="11"/>
  <c r="C137" i="13" s="1"/>
  <c r="D127" i="11"/>
  <c r="D137" i="13" s="1"/>
  <c r="E127" i="11"/>
  <c r="E137" i="13" s="1"/>
  <c r="C128" i="11"/>
  <c r="C138" i="13" s="1"/>
  <c r="D128" i="11"/>
  <c r="D138" i="13" s="1"/>
  <c r="E128" i="11"/>
  <c r="E138" i="13" s="1"/>
  <c r="C129" i="11"/>
  <c r="C139" i="13" s="1"/>
  <c r="D129" i="11"/>
  <c r="D139" i="13" s="1"/>
  <c r="E129" i="11"/>
  <c r="E139" i="13" s="1"/>
  <c r="C130" i="11"/>
  <c r="C140" i="13" s="1"/>
  <c r="D130" i="11"/>
  <c r="D140" i="13" s="1"/>
  <c r="E130" i="11"/>
  <c r="E140" i="13" s="1"/>
  <c r="C131" i="11"/>
  <c r="C141" i="13" s="1"/>
  <c r="D131" i="11"/>
  <c r="D141" i="13" s="1"/>
  <c r="E131" i="11"/>
  <c r="E141" i="13" s="1"/>
  <c r="C132" i="11"/>
  <c r="C142" i="13" s="1"/>
  <c r="D132" i="11"/>
  <c r="D142" i="13" s="1"/>
  <c r="E132" i="11"/>
  <c r="E142" i="13" s="1"/>
  <c r="C133" i="11"/>
  <c r="C143" i="13" s="1"/>
  <c r="D133" i="11"/>
  <c r="D143" i="13" s="1"/>
  <c r="E133" i="11"/>
  <c r="E143" i="13" s="1"/>
  <c r="C134" i="11"/>
  <c r="C144" i="13" s="1"/>
  <c r="D134" i="11"/>
  <c r="D144" i="13" s="1"/>
  <c r="E134" i="11"/>
  <c r="E144" i="13" s="1"/>
  <c r="C135" i="11"/>
  <c r="C145" i="13" s="1"/>
  <c r="D135" i="11"/>
  <c r="D145" i="13" s="1"/>
  <c r="E135" i="11"/>
  <c r="E145" i="13" s="1"/>
  <c r="C136" i="11"/>
  <c r="C146" i="13" s="1"/>
  <c r="D136" i="11"/>
  <c r="D146" i="13" s="1"/>
  <c r="E136" i="11"/>
  <c r="E146" i="13" s="1"/>
  <c r="C137" i="11"/>
  <c r="C147" i="13" s="1"/>
  <c r="D137" i="11"/>
  <c r="D147" i="13" s="1"/>
  <c r="E137" i="11"/>
  <c r="E147" i="13" s="1"/>
  <c r="C138" i="11"/>
  <c r="C148" i="13" s="1"/>
  <c r="D138" i="11"/>
  <c r="D148" i="13" s="1"/>
  <c r="E138" i="11"/>
  <c r="E148" i="13" s="1"/>
  <c r="C139" i="11"/>
  <c r="C149" i="13" s="1"/>
  <c r="D139" i="11"/>
  <c r="D149" i="13" s="1"/>
  <c r="E139" i="11"/>
  <c r="E149" i="13" s="1"/>
  <c r="C140" i="11"/>
  <c r="C150" i="13" s="1"/>
  <c r="D140" i="11"/>
  <c r="D150" i="13" s="1"/>
  <c r="E140" i="11"/>
  <c r="E150" i="13" s="1"/>
  <c r="C141" i="11"/>
  <c r="C151" i="13" s="1"/>
  <c r="D141" i="11"/>
  <c r="D151" i="13" s="1"/>
  <c r="E141" i="11"/>
  <c r="E151" i="13" s="1"/>
  <c r="C142" i="11"/>
  <c r="C152" i="13" s="1"/>
  <c r="D142" i="11"/>
  <c r="D152" i="13" s="1"/>
  <c r="E142" i="11"/>
  <c r="E152" i="13" s="1"/>
  <c r="C143" i="11"/>
  <c r="C153" i="13" s="1"/>
  <c r="D143" i="11"/>
  <c r="D153" i="13" s="1"/>
  <c r="E143" i="11"/>
  <c r="E153" i="13" s="1"/>
  <c r="C144" i="11"/>
  <c r="C154" i="13" s="1"/>
  <c r="D144" i="11"/>
  <c r="D154" i="13" s="1"/>
  <c r="E144" i="11"/>
  <c r="E154" i="13" s="1"/>
  <c r="C145" i="11"/>
  <c r="C155" i="13" s="1"/>
  <c r="D145" i="11"/>
  <c r="D155" i="13" s="1"/>
  <c r="E145" i="11"/>
  <c r="E155" i="13" s="1"/>
  <c r="C146" i="11"/>
  <c r="C156" i="13" s="1"/>
  <c r="D146" i="11"/>
  <c r="D156" i="13" s="1"/>
  <c r="E146" i="11"/>
  <c r="E156" i="13" s="1"/>
  <c r="C147" i="11"/>
  <c r="C157" i="13" s="1"/>
  <c r="D147" i="11"/>
  <c r="D157" i="13" s="1"/>
  <c r="E147" i="11"/>
  <c r="E157" i="13" s="1"/>
  <c r="C148" i="11"/>
  <c r="C158" i="13" s="1"/>
  <c r="D148" i="11"/>
  <c r="D158" i="13" s="1"/>
  <c r="E148" i="11"/>
  <c r="E158" i="13" s="1"/>
  <c r="C149" i="11"/>
  <c r="C159" i="13" s="1"/>
  <c r="D149" i="11"/>
  <c r="D159" i="13" s="1"/>
  <c r="E149" i="11"/>
  <c r="E159" i="13" s="1"/>
  <c r="C150" i="11"/>
  <c r="C160" i="13" s="1"/>
  <c r="D150" i="11"/>
  <c r="D160" i="13" s="1"/>
  <c r="E150" i="11"/>
  <c r="E160" i="13" s="1"/>
  <c r="C151" i="11"/>
  <c r="C161" i="13" s="1"/>
  <c r="D151" i="11"/>
  <c r="D161" i="13" s="1"/>
  <c r="E151" i="11"/>
  <c r="E161" i="13" s="1"/>
  <c r="C152" i="11"/>
  <c r="C162" i="13" s="1"/>
  <c r="D152" i="11"/>
  <c r="D162" i="13" s="1"/>
  <c r="E152" i="11"/>
  <c r="E162" i="13" s="1"/>
  <c r="C153" i="11"/>
  <c r="C163" i="13" s="1"/>
  <c r="D153" i="11"/>
  <c r="D163" i="13" s="1"/>
  <c r="E153" i="11"/>
  <c r="E163" i="13" s="1"/>
  <c r="C154" i="11"/>
  <c r="C164" i="13" s="1"/>
  <c r="D154" i="11"/>
  <c r="D164" i="13" s="1"/>
  <c r="E154" i="11"/>
  <c r="E164" i="13" s="1"/>
  <c r="BD5" i="8" l="1"/>
  <c r="AN5" i="11" s="1"/>
  <c r="AO5"/>
  <c r="D17" i="13"/>
  <c r="C16"/>
  <c r="C19"/>
  <c r="D16"/>
  <c r="C15"/>
  <c r="D19"/>
  <c r="E16"/>
  <c r="C17"/>
  <c r="E13" i="7"/>
  <c r="D15" i="13"/>
  <c r="E26"/>
  <c r="E24"/>
  <c r="F31"/>
  <c r="F163"/>
  <c r="C18"/>
  <c r="E18"/>
  <c r="D18"/>
  <c r="E14" i="7"/>
  <c r="AT5" i="8"/>
  <c r="AG5" i="11" s="1"/>
  <c r="G30" i="7" s="1"/>
  <c r="H30" s="1"/>
  <c r="AR5" i="8"/>
  <c r="AM5"/>
  <c r="AB5" i="11" s="1"/>
  <c r="G28" i="7" s="1"/>
  <c r="H28" s="1"/>
  <c r="AK5" i="8"/>
  <c r="AN5" s="1"/>
  <c r="AO5" s="1"/>
  <c r="AF5"/>
  <c r="W5" i="11" s="1"/>
  <c r="G26" i="7" s="1"/>
  <c r="H26" s="1"/>
  <c r="AD5" i="8"/>
  <c r="Y5"/>
  <c r="R5" i="11" s="1"/>
  <c r="G24" i="7" s="1"/>
  <c r="H24" s="1"/>
  <c r="W5" i="8"/>
  <c r="Z5" s="1"/>
  <c r="AA5" s="1"/>
  <c r="R5"/>
  <c r="M5" i="11" s="1"/>
  <c r="G22" i="7" s="1"/>
  <c r="H22" s="1"/>
  <c r="P5" i="8"/>
  <c r="I20" i="11"/>
  <c r="AJ20" s="1"/>
  <c r="F30" i="13" s="1"/>
  <c r="I19" i="11"/>
  <c r="AJ19" s="1"/>
  <c r="F29" i="13" s="1"/>
  <c r="I18" i="11"/>
  <c r="AJ18" s="1"/>
  <c r="F28" i="13" s="1"/>
  <c r="I17" i="11"/>
  <c r="AJ17" s="1"/>
  <c r="F27" i="13" s="1"/>
  <c r="I16" i="11"/>
  <c r="AJ16" s="1"/>
  <c r="F26" i="13" s="1"/>
  <c r="I15" i="11"/>
  <c r="AJ15" s="1"/>
  <c r="F25" i="13" s="1"/>
  <c r="I14" i="11"/>
  <c r="AJ14" s="1"/>
  <c r="I13"/>
  <c r="AJ13" s="1"/>
  <c r="F23" i="13" s="1"/>
  <c r="I12" i="11"/>
  <c r="AJ12" s="1"/>
  <c r="F22" i="13" s="1"/>
  <c r="G12" i="11"/>
  <c r="I11"/>
  <c r="AJ11" s="1"/>
  <c r="F21" i="13" s="1"/>
  <c r="G11" i="11"/>
  <c r="I10"/>
  <c r="AJ10" s="1"/>
  <c r="F20" i="13" s="1"/>
  <c r="H10" i="11"/>
  <c r="G10"/>
  <c r="I9"/>
  <c r="G9"/>
  <c r="I8"/>
  <c r="G8"/>
  <c r="I7"/>
  <c r="G7"/>
  <c r="I6"/>
  <c r="G6"/>
  <c r="I5"/>
  <c r="H5"/>
  <c r="G20" i="7" s="1"/>
  <c r="H20" s="1"/>
  <c r="G5" i="11"/>
  <c r="H13" i="7"/>
  <c r="AU5" i="8" l="1"/>
  <c r="AV5"/>
  <c r="AH5" i="11" s="1"/>
  <c r="AI5"/>
  <c r="AG5" i="8"/>
  <c r="AH5" s="1"/>
  <c r="X5" i="11" s="1"/>
  <c r="S5" i="8"/>
  <c r="T5" s="1"/>
  <c r="F24" i="13"/>
  <c r="AQ12" i="11"/>
  <c r="AJ9"/>
  <c r="AQ6"/>
  <c r="AQ10"/>
  <c r="AJ6"/>
  <c r="AQ7"/>
  <c r="AJ7"/>
  <c r="AQ11"/>
  <c r="AQ8"/>
  <c r="AJ8"/>
  <c r="AQ9"/>
  <c r="G19" i="7"/>
  <c r="H19" s="1"/>
  <c r="AP20" i="11"/>
  <c r="AR20" s="1"/>
  <c r="AP14"/>
  <c r="AR14" s="1"/>
  <c r="AP15"/>
  <c r="AR15" s="1"/>
  <c r="AP16"/>
  <c r="AR16" s="1"/>
  <c r="AP17"/>
  <c r="AR17" s="1"/>
  <c r="AP13"/>
  <c r="AR13" s="1"/>
  <c r="AP18"/>
  <c r="AR18" s="1"/>
  <c r="AP19"/>
  <c r="AR19" s="1"/>
  <c r="AF5"/>
  <c r="G29" i="7" s="1"/>
  <c r="H29" s="1"/>
  <c r="AA5" i="11"/>
  <c r="G27" i="7" s="1"/>
  <c r="H27" s="1"/>
  <c r="AC5" i="11"/>
  <c r="V5"/>
  <c r="G25" i="7" s="1"/>
  <c r="H25" s="1"/>
  <c r="S5" i="11"/>
  <c r="Q5"/>
  <c r="G23" i="7" s="1"/>
  <c r="H23" s="1"/>
  <c r="N5" i="11"/>
  <c r="L5"/>
  <c r="G21" i="7" s="1"/>
  <c r="H21" s="1"/>
  <c r="AP11" i="11"/>
  <c r="AR11" s="1"/>
  <c r="AP10"/>
  <c r="AR10" s="1"/>
  <c r="I19" i="7"/>
  <c r="AP12" i="11"/>
  <c r="AR12" s="1"/>
  <c r="AP7"/>
  <c r="AR7" s="1"/>
  <c r="I25" i="7" l="1"/>
  <c r="AQ5" i="11"/>
  <c r="AQ155" s="1"/>
  <c r="I27" i="7"/>
  <c r="AP9" i="11"/>
  <c r="AR9" s="1"/>
  <c r="AP8"/>
  <c r="AR8" s="1"/>
  <c r="F16" i="13"/>
  <c r="F18"/>
  <c r="F17"/>
  <c r="AP6" i="11"/>
  <c r="AR6" s="1"/>
  <c r="F19" i="13"/>
  <c r="I29" i="7"/>
  <c r="I23"/>
  <c r="I21"/>
  <c r="AJ5" i="11"/>
  <c r="AP5"/>
  <c r="J24" i="7" l="1"/>
  <c r="J23"/>
  <c r="AX9" i="11"/>
  <c r="AX12"/>
  <c r="AX8"/>
  <c r="AX7"/>
  <c r="AX11"/>
  <c r="AX6"/>
  <c r="AX10"/>
  <c r="AX5"/>
  <c r="AX13"/>
  <c r="AX77"/>
  <c r="AX91"/>
  <c r="AX96"/>
  <c r="AX65"/>
  <c r="AX126"/>
  <c r="AX67"/>
  <c r="AX113"/>
  <c r="AX69"/>
  <c r="AX54"/>
  <c r="AX106"/>
  <c r="AX111"/>
  <c r="AX98"/>
  <c r="AX100"/>
  <c r="AX82"/>
  <c r="AX128"/>
  <c r="AX23"/>
  <c r="AX78"/>
  <c r="AX134"/>
  <c r="AX62"/>
  <c r="AX115"/>
  <c r="AX56"/>
  <c r="AX15"/>
  <c r="AX19"/>
  <c r="AX116"/>
  <c r="AX92"/>
  <c r="AX97"/>
  <c r="AX102"/>
  <c r="AX107"/>
  <c r="AX37"/>
  <c r="AX48"/>
  <c r="AX94"/>
  <c r="AX61"/>
  <c r="AX58"/>
  <c r="AX104"/>
  <c r="AX150"/>
  <c r="AX68"/>
  <c r="AX132"/>
  <c r="AX50"/>
  <c r="AX83"/>
  <c r="AX144"/>
  <c r="AX131"/>
  <c r="AX26"/>
  <c r="AX72"/>
  <c r="AX118"/>
  <c r="AX147"/>
  <c r="AX88"/>
  <c r="AX139"/>
  <c r="AX39"/>
  <c r="AX146"/>
  <c r="AX41"/>
  <c r="AX87"/>
  <c r="AX119"/>
  <c r="AX24"/>
  <c r="AX125"/>
  <c r="AX45"/>
  <c r="AX33"/>
  <c r="AX14"/>
  <c r="AX18"/>
  <c r="AX141"/>
  <c r="AX103"/>
  <c r="AX74"/>
  <c r="AX79"/>
  <c r="AX117"/>
  <c r="AX66"/>
  <c r="AX112"/>
  <c r="AX53"/>
  <c r="AX76"/>
  <c r="AX122"/>
  <c r="AX133"/>
  <c r="AX63"/>
  <c r="AX73"/>
  <c r="AX137"/>
  <c r="AX114"/>
  <c r="AX142"/>
  <c r="AX85"/>
  <c r="AX44"/>
  <c r="AX90"/>
  <c r="AX136"/>
  <c r="AX31"/>
  <c r="AX124"/>
  <c r="AX152"/>
  <c r="AX153"/>
  <c r="AX80"/>
  <c r="AX59"/>
  <c r="AX105"/>
  <c r="AX151"/>
  <c r="AX46"/>
  <c r="AX42"/>
  <c r="AX121"/>
  <c r="AX36"/>
  <c r="AX93"/>
  <c r="AX17"/>
  <c r="AX60"/>
  <c r="AX34"/>
  <c r="AX51"/>
  <c r="AX143"/>
  <c r="AX84"/>
  <c r="AX130"/>
  <c r="AX25"/>
  <c r="AX71"/>
  <c r="AX140"/>
  <c r="AX35"/>
  <c r="AX81"/>
  <c r="AX127"/>
  <c r="AX22"/>
  <c r="AX38"/>
  <c r="AX21"/>
  <c r="AX27"/>
  <c r="AX55"/>
  <c r="AX47"/>
  <c r="AX108"/>
  <c r="AX29"/>
  <c r="AX49"/>
  <c r="AX95"/>
  <c r="AX32"/>
  <c r="AX129"/>
  <c r="AX70"/>
  <c r="AX57"/>
  <c r="AX123"/>
  <c r="AX149"/>
  <c r="AX64"/>
  <c r="AX110"/>
  <c r="AX154"/>
  <c r="AX52"/>
  <c r="AX101"/>
  <c r="AX138"/>
  <c r="AX109"/>
  <c r="AX16"/>
  <c r="AX20"/>
  <c r="AX75"/>
  <c r="AX28"/>
  <c r="AX120"/>
  <c r="AX148"/>
  <c r="AX43"/>
  <c r="AX89"/>
  <c r="AX135"/>
  <c r="AX30"/>
  <c r="AX99"/>
  <c r="AX145"/>
  <c r="AX40"/>
  <c r="AX86"/>
  <c r="F15" i="13"/>
  <c r="G15" s="1"/>
  <c r="AJ162" i="11"/>
  <c r="AJ161"/>
  <c r="AJ160"/>
  <c r="AJ159"/>
  <c r="AJ158"/>
  <c r="AJ163"/>
  <c r="AV5" a="1"/>
  <c r="AV9" s="1"/>
  <c r="AJ157"/>
  <c r="AP155"/>
  <c r="AR5"/>
  <c r="AR155" s="1"/>
  <c r="AT5" a="1"/>
  <c r="I31" i="7"/>
  <c r="AV7" i="11" l="1"/>
  <c r="AV6"/>
  <c r="AV8"/>
  <c r="AV5"/>
  <c r="AW12" s="1"/>
  <c r="AU5" s="1"/>
  <c r="G133" i="13"/>
  <c r="G116"/>
  <c r="G41"/>
  <c r="G99"/>
  <c r="G58"/>
  <c r="G123"/>
  <c r="G86"/>
  <c r="G47"/>
  <c r="G51"/>
  <c r="G101"/>
  <c r="G100"/>
  <c r="G107"/>
  <c r="G84"/>
  <c r="G94"/>
  <c r="G105"/>
  <c r="G112"/>
  <c r="G122"/>
  <c r="G38"/>
  <c r="G118"/>
  <c r="G89"/>
  <c r="G98"/>
  <c r="G75"/>
  <c r="G72"/>
  <c r="G46"/>
  <c r="G73"/>
  <c r="G61"/>
  <c r="G106"/>
  <c r="G124"/>
  <c r="G102"/>
  <c r="G57"/>
  <c r="G109"/>
  <c r="G67"/>
  <c r="G42"/>
  <c r="G59"/>
  <c r="G70"/>
  <c r="G134"/>
  <c r="G121"/>
  <c r="G114"/>
  <c r="G22"/>
  <c r="G56"/>
  <c r="G97"/>
  <c r="G54"/>
  <c r="G45"/>
  <c r="G88"/>
  <c r="G66"/>
  <c r="G71"/>
  <c r="G40"/>
  <c r="G90"/>
  <c r="G53"/>
  <c r="G108"/>
  <c r="G113"/>
  <c r="G36"/>
  <c r="G62"/>
  <c r="G63"/>
  <c r="G64"/>
  <c r="G87"/>
  <c r="G92"/>
  <c r="G115"/>
  <c r="G68"/>
  <c r="G50"/>
  <c r="G39"/>
  <c r="G131"/>
  <c r="G128"/>
  <c r="G91"/>
  <c r="G76"/>
  <c r="G81"/>
  <c r="G69"/>
  <c r="G132"/>
  <c r="G126"/>
  <c r="G125"/>
  <c r="G55"/>
  <c r="G52"/>
  <c r="G83"/>
  <c r="G48"/>
  <c r="G120"/>
  <c r="G130"/>
  <c r="G35"/>
  <c r="G96"/>
  <c r="G65"/>
  <c r="G117"/>
  <c r="G49"/>
  <c r="G37"/>
  <c r="G60"/>
  <c r="G110"/>
  <c r="G127"/>
  <c r="G93"/>
  <c r="G74"/>
  <c r="G129"/>
  <c r="G79"/>
  <c r="G77"/>
  <c r="G104"/>
  <c r="G82"/>
  <c r="G103"/>
  <c r="G80"/>
  <c r="G119"/>
  <c r="G85"/>
  <c r="G111"/>
  <c r="G43"/>
  <c r="G44"/>
  <c r="G78"/>
  <c r="G95"/>
  <c r="G32"/>
  <c r="G34"/>
  <c r="G33"/>
  <c r="G18"/>
  <c r="G31"/>
  <c r="G163"/>
  <c r="G24"/>
  <c r="G25"/>
  <c r="G26"/>
  <c r="G27"/>
  <c r="G28"/>
  <c r="G29"/>
  <c r="G30"/>
  <c r="G23"/>
  <c r="G20"/>
  <c r="G21"/>
  <c r="G17"/>
  <c r="G16"/>
  <c r="G19"/>
  <c r="AT6" i="11"/>
  <c r="AT8"/>
  <c r="AT7"/>
  <c r="AT5"/>
  <c r="AW5" s="1"/>
  <c r="AS5" s="1"/>
  <c r="AT9"/>
  <c r="AW13" l="1"/>
  <c r="AU6" s="1"/>
  <c r="AW14"/>
  <c r="AU7" s="1"/>
  <c r="AW16"/>
  <c r="AU9" s="1"/>
  <c r="AW15"/>
  <c r="AU8" s="1"/>
  <c r="AW6"/>
  <c r="AS6" s="1"/>
  <c r="AW9"/>
  <c r="AS9" s="1"/>
  <c r="AW7"/>
  <c r="AS7" s="1"/>
  <c r="AW8"/>
  <c r="AS8" s="1"/>
</calcChain>
</file>

<file path=xl/sharedStrings.xml><?xml version="1.0" encoding="utf-8"?>
<sst xmlns="http://schemas.openxmlformats.org/spreadsheetml/2006/main" count="1060" uniqueCount="282">
  <si>
    <t>S.N.</t>
  </si>
  <si>
    <t>Name Of Student</t>
  </si>
  <si>
    <t>DOB</t>
  </si>
  <si>
    <t>Sub Code</t>
  </si>
  <si>
    <t>TH</t>
  </si>
  <si>
    <t>TOT.</t>
  </si>
  <si>
    <t>FINAL GRADE</t>
  </si>
  <si>
    <t>GPA</t>
  </si>
  <si>
    <t>REGISTRATION NO.</t>
  </si>
  <si>
    <t>SUBJECTS</t>
  </si>
  <si>
    <t>REMARKS</t>
  </si>
  <si>
    <t xml:space="preserve">       </t>
  </si>
  <si>
    <t>DATE OF BIRTH :</t>
  </si>
  <si>
    <t>B.S.</t>
  </si>
  <si>
    <t>SYMBOL NO.</t>
  </si>
  <si>
    <t>XI</t>
  </si>
  <si>
    <t>SUBJECT CODE</t>
  </si>
  <si>
    <t>ABS = ABSENT</t>
  </si>
  <si>
    <t>DATE OF ISSUE     :</t>
  </si>
  <si>
    <t>GP</t>
  </si>
  <si>
    <t>A.D.)</t>
  </si>
  <si>
    <t>GARDE POINT (GP)</t>
  </si>
  <si>
    <t>GRADE</t>
  </si>
  <si>
    <t>0011</t>
  </si>
  <si>
    <t>Registration No.</t>
  </si>
  <si>
    <t>G.P.</t>
  </si>
  <si>
    <t xml:space="preserve">IN THE EXAMINATION CONDUCTED IN </t>
  </si>
  <si>
    <t>ARE GIVEN BELOW.</t>
  </si>
  <si>
    <t xml:space="preserve">FINAL GRADE (FG) </t>
  </si>
  <si>
    <t>0012</t>
  </si>
  <si>
    <t>0031</t>
  </si>
  <si>
    <t>0032</t>
  </si>
  <si>
    <t>0051</t>
  </si>
  <si>
    <t>SOCIAL STUDIES AND LIFE SKILLS EDUCATION (TH)</t>
  </si>
  <si>
    <t>0052</t>
  </si>
  <si>
    <t>SOCIAL STUDIES AND LIFE SKILLS EDUCATION (IN)</t>
  </si>
  <si>
    <t>ACCOUNTING (TH)</t>
  </si>
  <si>
    <t>PHYSICS (IN)</t>
  </si>
  <si>
    <t>BUSINESS STUDIES (TH)</t>
  </si>
  <si>
    <t>BUSINESS STUDIES (IN)</t>
  </si>
  <si>
    <t>ECONOMICS (TH)</t>
  </si>
  <si>
    <t>ECONOMICS (IN)</t>
  </si>
  <si>
    <t>EXTRA CREDIT SUBJECT</t>
  </si>
  <si>
    <t>IN</t>
  </si>
  <si>
    <t>Com.Nepali</t>
  </si>
  <si>
    <t>Com.English</t>
  </si>
  <si>
    <t>Com.Social Studies &amp; Life Skill</t>
  </si>
  <si>
    <t>PREPARED BY : …………………………</t>
  </si>
  <si>
    <t>CHECKED BY : …………………………</t>
  </si>
  <si>
    <t xml:space="preserve">       (</t>
  </si>
  <si>
    <t>G.P. (TH)</t>
  </si>
  <si>
    <t>G.P. (IN)</t>
  </si>
  <si>
    <t>CODE</t>
  </si>
  <si>
    <t>SUBJECT</t>
  </si>
  <si>
    <t>NEPALI (TH)</t>
  </si>
  <si>
    <t>NEPALI (IN)</t>
  </si>
  <si>
    <t>ENGLISH (TH)</t>
  </si>
  <si>
    <t>ENGLISH (IN)</t>
  </si>
  <si>
    <t>0071</t>
  </si>
  <si>
    <t>MATHEMATICS (TH)</t>
  </si>
  <si>
    <t>0072</t>
  </si>
  <si>
    <t>MATHEMATICS (IN)</t>
  </si>
  <si>
    <t>PHYSICS (TH)</t>
  </si>
  <si>
    <t>ACCOUNTING (IN)</t>
  </si>
  <si>
    <t>RURAL DEVELOPMENT (TH)</t>
  </si>
  <si>
    <t>RURAL DEVELOPMENT (IN)</t>
  </si>
  <si>
    <t>JURISPRUDENCE AND LEGAL THEORIES (TH)</t>
  </si>
  <si>
    <t>JURISPRUDENCE AND LEGAL THEORIES (PR)</t>
  </si>
  <si>
    <t>PAINTING (TH)</t>
  </si>
  <si>
    <t>PAINTING (IN)</t>
  </si>
  <si>
    <t>CHILD DEVELOPMENT AND LEARNING (TH)</t>
  </si>
  <si>
    <t>CHILD DEVELOPMENT AND LEARNING (IN)</t>
  </si>
  <si>
    <t>PSYCHOLOGY (TH)</t>
  </si>
  <si>
    <t>PSYCHOLOGY (IN)</t>
  </si>
  <si>
    <t>HISTORY (TH)</t>
  </si>
  <si>
    <t>HISTORY (IN)</t>
  </si>
  <si>
    <t>GENDER STUDIES (TH)</t>
  </si>
  <si>
    <t>GENDER STUDIES (IN)</t>
  </si>
  <si>
    <t>HOSPITALITY MANAGEMENT (TH)</t>
  </si>
  <si>
    <t>HOSPITALITY MANAGEMENT (IN)</t>
  </si>
  <si>
    <t>AGRONOMY (TH)</t>
  </si>
  <si>
    <t>AGRONOMY (IN)</t>
  </si>
  <si>
    <t>NATUROPATHY (TH)</t>
  </si>
  <si>
    <t>NATUROPATHY (IN)</t>
  </si>
  <si>
    <t>HUMAN VALUE EDUCATION (TH)</t>
  </si>
  <si>
    <t>HUMAN VALUE EDUCATION (IN)</t>
  </si>
  <si>
    <t>BIOLOGY (TH)</t>
  </si>
  <si>
    <t>BIOLOGY (IN)</t>
  </si>
  <si>
    <t>EDUCATION AND DEVELOPMENT (TH)</t>
  </si>
  <si>
    <t>EDUCATION AND DEVELOPMENT (IN)</t>
  </si>
  <si>
    <t>GEOGRAPHY (TH)</t>
  </si>
  <si>
    <t>GEOGRAPHY (IN)</t>
  </si>
  <si>
    <t>PROCEDURAL LAW (TH)</t>
  </si>
  <si>
    <t>PROCEDURAL LAW (IN)</t>
  </si>
  <si>
    <t>SOCIOLOGY (TH)</t>
  </si>
  <si>
    <t>SOCIOLOGY (IN)</t>
  </si>
  <si>
    <t>AYURVED (TH)</t>
  </si>
  <si>
    <t>AYURVED (IN)</t>
  </si>
  <si>
    <t>LINGUISTICS (TH)</t>
  </si>
  <si>
    <t>LINGUISTICS (IN)</t>
  </si>
  <si>
    <t>POLITICAL SCIENCE (TH)</t>
  </si>
  <si>
    <t>POLITICAL SCIENCE (IN)</t>
  </si>
  <si>
    <t>PHILOSOPHY (TH)</t>
  </si>
  <si>
    <t>PHILOSOPHY (IN)</t>
  </si>
  <si>
    <t>POPULATION STUDIES (TH)</t>
  </si>
  <si>
    <t>POPULATION STUDIES (IN)</t>
  </si>
  <si>
    <t>HORTICULTURE (FRUITS, VEGETABLE, FLORICULTURE, AND MUSHROOM FARMING) (TH)</t>
  </si>
  <si>
    <t>HORTICULTURE (FRUITS, VEGETABLE, FLORICULTURE, AND MUSHROOM FARMING) (IN)</t>
  </si>
  <si>
    <t>FOOD AND NUTRITION (TH)</t>
  </si>
  <si>
    <t>FOOD AND NUTRITION (IN)</t>
  </si>
  <si>
    <t>DANCE (TH)</t>
  </si>
  <si>
    <t>DANCE (IN)</t>
  </si>
  <si>
    <t>HISTORY OF ARTS (TH)</t>
  </si>
  <si>
    <t>HISTORY OF ARTS (IN)</t>
  </si>
  <si>
    <t>CHEMISTRY (TH)</t>
  </si>
  <si>
    <t>CHEMISTRY (IN)</t>
  </si>
  <si>
    <t>TOURISM AND MOUNTAINEERING STUDIES (TH)</t>
  </si>
  <si>
    <t>TOURISM AND MOUNTAINEERING STUDIES (IN)</t>
  </si>
  <si>
    <t>MARKETING (TH)</t>
  </si>
  <si>
    <t>MARKETING (IN)</t>
  </si>
  <si>
    <t>GERONTOLOGY AND CARETAKING EDUCATION (TH)</t>
  </si>
  <si>
    <t>GERONTOLOGY AND CARETAKING EDUCATION (IN)</t>
  </si>
  <si>
    <t>YOG (TH)</t>
  </si>
  <si>
    <t>YOG (IN)</t>
  </si>
  <si>
    <t>VOCAL / INSTRUMENTAL (TH)</t>
  </si>
  <si>
    <t>VOCAL / INSTRUMENTAL (IN)</t>
  </si>
  <si>
    <t>SWEING AND KNITTING (TH)</t>
  </si>
  <si>
    <t>SWEING AND KNITTING (IN)</t>
  </si>
  <si>
    <t>CONSTITUTION LAW (TH)</t>
  </si>
  <si>
    <t>CONSTITUTION LAW (IN)</t>
  </si>
  <si>
    <t>CULINARY ARTS (TH)</t>
  </si>
  <si>
    <t>CULINARY ARTS (IN)</t>
  </si>
  <si>
    <t>CULTURE (TH)</t>
  </si>
  <si>
    <t>CULTURE (IN)</t>
  </si>
  <si>
    <t>FASHION DESIGNING (TH)</t>
  </si>
  <si>
    <t>FASHION DESIGNING (IN)</t>
  </si>
  <si>
    <t>FILM AND DOCUMENTARY (TH)</t>
  </si>
  <si>
    <t>FILM AND DOCUMENTARY (IN)</t>
  </si>
  <si>
    <t>ANIMAL HUSBANDRY, POULTRY, AND FISHERIES (TH)</t>
  </si>
  <si>
    <t>ANIMAL HUSBANDRY, POULTRY, AND FISHERIES (IN)</t>
  </si>
  <si>
    <t>MAITHALI (TH)</t>
  </si>
  <si>
    <t>MAITHALI (IN)</t>
  </si>
  <si>
    <t>NEWARI (TH)</t>
  </si>
  <si>
    <t>NEWARI (IN)</t>
  </si>
  <si>
    <t>HINDI (TH)</t>
  </si>
  <si>
    <t>HINDI (IN)</t>
  </si>
  <si>
    <t>CHINESE (TH)</t>
  </si>
  <si>
    <t>CHINESE (IN)</t>
  </si>
  <si>
    <t>GERMAN (TH)</t>
  </si>
  <si>
    <t>GERMAN (IN)</t>
  </si>
  <si>
    <t>JAPANESE (TH)</t>
  </si>
  <si>
    <t>JAPANESE (IN)</t>
  </si>
  <si>
    <t>KOREAN (TH)</t>
  </si>
  <si>
    <t>KOREAN (IN)</t>
  </si>
  <si>
    <t>URDU (TH)</t>
  </si>
  <si>
    <t>URDU (IN)</t>
  </si>
  <si>
    <t>BHOJPURI (TH)</t>
  </si>
  <si>
    <t>BHOJPURI (IN)</t>
  </si>
  <si>
    <t>FRENCH (TH)</t>
  </si>
  <si>
    <t>FRENCH (IN)</t>
  </si>
  <si>
    <t>HEBREW (TH)</t>
  </si>
  <si>
    <t>HEBREW (IN)</t>
  </si>
  <si>
    <t>ARABIC (TH)</t>
  </si>
  <si>
    <t>ARABIC (IN)</t>
  </si>
  <si>
    <t>SANSKRIT (TH)</t>
  </si>
  <si>
    <t>SANSKRIT (IN)</t>
  </si>
  <si>
    <t>APPLIED ARTS (TH)</t>
  </si>
  <si>
    <t>APPLIED ARTS (IN)</t>
  </si>
  <si>
    <t>URDU (PR)</t>
  </si>
  <si>
    <t>APPLIED MATHEMATICS (TH)</t>
  </si>
  <si>
    <t>APPLIED MATHEMATICS (IN)</t>
  </si>
  <si>
    <t>BUSINESS MATHEMATICS (TH)</t>
  </si>
  <si>
    <t>BUSINESS MATHEMATICS (IN)</t>
  </si>
  <si>
    <t>HUMAN RIGHTS (TH)</t>
  </si>
  <si>
    <t>HUMAN RIGHTS (IN)</t>
  </si>
  <si>
    <t>LIBRARY AND INFORMATION SCIENCE (TH)</t>
  </si>
  <si>
    <t>LIBRARY AND INFORMATION SCIENCE (IN)</t>
  </si>
  <si>
    <t>HOME SCIENCE (TH)</t>
  </si>
  <si>
    <t>HOME SCIENCE (IN)</t>
  </si>
  <si>
    <t>ENVRIONEMTN SCIENCE (TH)</t>
  </si>
  <si>
    <t>ENVRIONEMTN SCIENCE (IN)</t>
  </si>
  <si>
    <t>GENERAL LAW (TH)</t>
  </si>
  <si>
    <t>GENERAL LAW (IN)</t>
  </si>
  <si>
    <t>FINANCE (TH)</t>
  </si>
  <si>
    <t>FINANCE (IN)</t>
  </si>
  <si>
    <t>CO-OPERATIVE MANAGEMENT (TH)</t>
  </si>
  <si>
    <t>CO-OPERATIVE MANAGEMENT (IN)</t>
  </si>
  <si>
    <t>BUDDHIST STUDIES (TH)</t>
  </si>
  <si>
    <t>BUDDHIST STUDIES (IN)</t>
  </si>
  <si>
    <t>SCULPTURE (TH)</t>
  </si>
  <si>
    <t>SCULPTURE (IN)</t>
  </si>
  <si>
    <t>SINGING (TH)</t>
  </si>
  <si>
    <t>SINGING (IN)</t>
  </si>
  <si>
    <t>COMPUTER SCIENCE (TH)</t>
  </si>
  <si>
    <t>COMPUTER SCIENCE (IN)</t>
  </si>
  <si>
    <t>SERICULTURE AND BEE KEEPING (TH)</t>
  </si>
  <si>
    <t>SERICULTURE AND BEE KEEPING (IN)</t>
  </si>
  <si>
    <t>BEAUTICIAN AND HAIR DRESSING (TH)</t>
  </si>
  <si>
    <t>BEAUTICIAN AND HAIR DRESSING (IN)</t>
  </si>
  <si>
    <t>MEDICINAL HERBALS (TH)</t>
  </si>
  <si>
    <t>MEDICINAL HERBALS (IN)</t>
  </si>
  <si>
    <t>PLUMBING AND WIRING (TH)</t>
  </si>
  <si>
    <t>PLUMBING AND WIRING (IN)</t>
  </si>
  <si>
    <t>INTERNAL DECORATION (TH)</t>
  </si>
  <si>
    <t>INTERNAL DECORATION (IN)</t>
  </si>
  <si>
    <t>HOTEL MANAGEMENT (TH)</t>
  </si>
  <si>
    <t>HOTEL MANAGEMENT (IN)</t>
  </si>
  <si>
    <t>MASS COMMUNICATION (TH)</t>
  </si>
  <si>
    <t>MASS COMMUNICATION (IN)</t>
  </si>
  <si>
    <t>HEALTH AND PHYSICAL EDUCATION (TH)</t>
  </si>
  <si>
    <t>HEALTH AND PHYSICAL EDUCATION (IN)</t>
  </si>
  <si>
    <t>SPORT SCIENCE (TH)</t>
  </si>
  <si>
    <t>SPORT SCIENCE (IN)</t>
  </si>
  <si>
    <t>COM. NEPALI (TH)</t>
  </si>
  <si>
    <t>COM. ENGLISH (TH)</t>
  </si>
  <si>
    <t>COM. SOCIAL STUDIES AND LIFE SKILLS EDUCATION (TH)</t>
  </si>
  <si>
    <t>COM. MATHEMATICS (TH)</t>
  </si>
  <si>
    <t>COM. NEPALI (IN)</t>
  </si>
  <si>
    <t>COM. ENGLISH (IN)</t>
  </si>
  <si>
    <t>COM. SOCIAL STUDIES AND LIFE SKILLS EDUCATION (IN)</t>
  </si>
  <si>
    <t>COM. MATHEMATICS (IN)</t>
  </si>
  <si>
    <t>HEAD TEACHER</t>
  </si>
  <si>
    <t>NOTE : ONE CREDIT HOUR EQUALS TO 32 WORKING HOURS</t>
  </si>
  <si>
    <t>W= WITHHELD</t>
  </si>
  <si>
    <t>FINAL G.P.</t>
  </si>
  <si>
    <t>Top 5</t>
  </si>
  <si>
    <t>Less 5</t>
  </si>
  <si>
    <t>Not Graded</t>
  </si>
  <si>
    <t>Absent</t>
  </si>
  <si>
    <t>Withheld</t>
  </si>
  <si>
    <t>A+ (=4 GPA)</t>
  </si>
  <si>
    <t>A (&gt;=3.6 GPA)</t>
  </si>
  <si>
    <t>B+ (&gt;=3.2 GPA)</t>
  </si>
  <si>
    <t>B (&gt;=2.8 GPA)</t>
  </si>
  <si>
    <t>C+ (&gt;=2.4 GPA)</t>
  </si>
  <si>
    <t>C (&gt;=2 GPA)</t>
  </si>
  <si>
    <t>D (&gt;=1.6)</t>
  </si>
  <si>
    <t>THE GRADE(S) SECURED BY   :</t>
  </si>
  <si>
    <t>CREDIT HOUR (CH)</t>
  </si>
  <si>
    <t>GRADE POINT AVERAGE (GPA) :</t>
  </si>
  <si>
    <t>Rank</t>
  </si>
  <si>
    <t>Top/Less 5 Helper</t>
  </si>
  <si>
    <t>Top/Less 5 Helper 2</t>
  </si>
  <si>
    <t>THEORY (TH) :  THIS COVERS WRITTEN EXTERNAL EXAMINATION</t>
  </si>
  <si>
    <t>INTERNAL (IN) : THIS COVERS THE PARTICIPATION, PRACTICAL/PROJECT WORKS, COMMUNITY 
                                     WORKS, INTERNSHIP, PRESENTATIONS, TERMINAL EXAMINATIONS.</t>
  </si>
  <si>
    <r>
      <rPr>
        <b/>
        <sz val="12"/>
        <rFont val="Calibri"/>
        <family val="2"/>
        <scheme val="minor"/>
      </rPr>
      <t>2078</t>
    </r>
    <r>
      <rPr>
        <b/>
        <sz val="12"/>
        <color rgb="FF002060"/>
        <rFont val="Calibri"/>
        <family val="2"/>
        <scheme val="minor"/>
      </rPr>
      <t xml:space="preserve"> B.S. (</t>
    </r>
    <r>
      <rPr>
        <b/>
        <sz val="12"/>
        <rFont val="Calibri"/>
        <family val="2"/>
        <scheme val="minor"/>
      </rPr>
      <t>2022</t>
    </r>
    <r>
      <rPr>
        <b/>
        <sz val="12"/>
        <color rgb="FF002060"/>
        <rFont val="Calibri"/>
        <family val="2"/>
        <scheme val="minor"/>
      </rPr>
      <t xml:space="preserve"> A.D.)</t>
    </r>
  </si>
  <si>
    <t>2079.02.6</t>
  </si>
  <si>
    <t>Suraj Bhattari</t>
  </si>
  <si>
    <t>Nikhil</t>
  </si>
  <si>
    <t>dipika</t>
  </si>
  <si>
    <t>krish</t>
  </si>
  <si>
    <t>lekhnath</t>
  </si>
  <si>
    <t>ramesh</t>
  </si>
  <si>
    <t>hari</t>
  </si>
  <si>
    <t>pawan</t>
  </si>
  <si>
    <t>madhu</t>
  </si>
  <si>
    <t>siddhartha</t>
  </si>
  <si>
    <t>lalit</t>
  </si>
  <si>
    <t>bhumika</t>
  </si>
  <si>
    <t>opt1(account)</t>
  </si>
  <si>
    <t>OPT 2nd(Economics)</t>
  </si>
  <si>
    <t>OPT 3rd(computer)</t>
  </si>
  <si>
    <t>OPT 1st(account)</t>
  </si>
  <si>
    <t>OPT 3rd(Computer)</t>
  </si>
  <si>
    <t>OPT-I. ACCOUNTANCY(TH)</t>
  </si>
  <si>
    <t>OPT-I. ACCOUNTANCY(IN)</t>
  </si>
  <si>
    <t>OPT-II. ECONOMICS(TH)</t>
  </si>
  <si>
    <t>OPT-II. ECONOMICS(IN)</t>
  </si>
  <si>
    <t>0021</t>
  </si>
  <si>
    <t>COM. NEPALI(TH)</t>
  </si>
  <si>
    <t>0022</t>
  </si>
  <si>
    <t>COM.NEPALI(IN)</t>
  </si>
  <si>
    <t>0041</t>
  </si>
  <si>
    <t>0042</t>
  </si>
  <si>
    <t>0061</t>
  </si>
  <si>
    <t>0062</t>
  </si>
  <si>
    <t>COM.ENGLISH(IN)</t>
  </si>
  <si>
    <t>COM.ENGLISH(TH)</t>
  </si>
  <si>
    <t>OPT-III. COMPUTER SCIENCE(TH)</t>
  </si>
  <si>
    <t>OPT-III. COMPUTER SCIENCE(IN)</t>
  </si>
  <si>
    <t>COM. SOCIAL STUDIES &amp; LIFE  SKILS(IN)</t>
  </si>
  <si>
    <t>COM. SOCIAL STUDIES &amp; LIFE  SKILS(TH)</t>
  </si>
</sst>
</file>

<file path=xl/styles.xml><?xml version="1.0" encoding="utf-8"?>
<styleSheet xmlns="http://schemas.openxmlformats.org/spreadsheetml/2006/main">
  <numFmts count="3">
    <numFmt numFmtId="164" formatCode="[$-409]d\-mmm\-yyyy;@"/>
    <numFmt numFmtId="165" formatCode="yyyy\-mm\-dd;@"/>
    <numFmt numFmtId="166" formatCode="0.0"/>
  </numFmts>
  <fonts count="36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3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2"/>
      <color rgb="FF00206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1"/>
      <color theme="1"/>
      <name val="Orator Std"/>
      <family val="3"/>
    </font>
    <font>
      <b/>
      <sz val="14"/>
      <color theme="9" tint="-0.249977111117893"/>
      <name val="Kokila"/>
      <family val="2"/>
    </font>
    <font>
      <sz val="14"/>
      <color theme="9" tint="-0.249977111117893"/>
      <name val="Kokila"/>
      <family val="2"/>
    </font>
    <font>
      <sz val="14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002060"/>
      <name val="Adobe Devanagari"/>
      <family val="1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22"/>
      <color theme="0"/>
      <name val="Adobe Gothic Std B"/>
      <family val="2"/>
      <charset val="128"/>
    </font>
    <font>
      <sz val="18"/>
      <color theme="0"/>
      <name val="Adobe Gothic Std B"/>
      <family val="2"/>
      <charset val="128"/>
    </font>
    <font>
      <sz val="16"/>
      <color theme="0"/>
      <name val="Adobe Gothic Std B"/>
      <family val="2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NewRomanPSMT"/>
    </font>
    <font>
      <sz val="11"/>
      <name val="Times New Roman"/>
      <family val="1"/>
    </font>
    <font>
      <sz val="12"/>
      <color theme="1"/>
      <name val="TimesNewRomanPSMT"/>
    </font>
    <font>
      <b/>
      <i/>
      <sz val="12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8" tint="-0.249977111117893"/>
      </bottom>
      <diagonal/>
    </border>
    <border>
      <left/>
      <right/>
      <top style="dotted">
        <color theme="8" tint="-0.249977111117893"/>
      </top>
      <bottom style="dotted">
        <color theme="8" tint="-0.24997711111789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rgb="FF002060"/>
      </top>
      <bottom style="thin">
        <color indexed="64"/>
      </bottom>
      <diagonal/>
    </border>
    <border>
      <left/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2060"/>
      </bottom>
      <diagonal/>
    </border>
    <border>
      <left style="thin">
        <color indexed="64"/>
      </left>
      <right/>
      <top style="medium">
        <color rgb="FF002060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 style="medium">
        <color rgb="FF002060"/>
      </bottom>
      <diagonal/>
    </border>
    <border>
      <left style="thin">
        <color indexed="64"/>
      </left>
      <right style="thick">
        <color theme="0"/>
      </right>
      <top style="medium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medium">
        <color rgb="FF002060"/>
      </bottom>
      <diagonal/>
    </border>
    <border>
      <left style="thick">
        <color rgb="FF002060"/>
      </left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n">
        <color indexed="64"/>
      </top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2060"/>
      </bottom>
      <diagonal/>
    </border>
    <border>
      <left style="thin">
        <color indexed="64"/>
      </left>
      <right style="thick">
        <color rgb="FF002060"/>
      </right>
      <top style="thin">
        <color indexed="64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n">
        <color indexed="64"/>
      </top>
      <bottom style="medium">
        <color rgb="FF002060"/>
      </bottom>
      <diagonal/>
    </border>
    <border>
      <left/>
      <right style="thin">
        <color indexed="64"/>
      </right>
      <top/>
      <bottom style="thick">
        <color rgb="FF00206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medium">
        <color rgb="FF00206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002060"/>
      </left>
      <right style="thick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/>
      <top style="medium">
        <color rgb="FF00206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/>
      <top style="thick">
        <color rgb="FF002060"/>
      </top>
      <bottom style="thin">
        <color indexed="64"/>
      </bottom>
      <diagonal/>
    </border>
    <border>
      <left style="thick">
        <color theme="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ck">
        <color rgb="FF00206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rgb="FF002060"/>
      </top>
      <bottom/>
      <diagonal/>
    </border>
    <border>
      <left/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002060"/>
      </left>
      <right style="thick">
        <color rgb="FF002060"/>
      </right>
      <top/>
      <bottom style="thick">
        <color rgb="FF002060"/>
      </bottom>
      <diagonal/>
    </border>
    <border>
      <left style="thick">
        <color rgb="FF002060"/>
      </left>
      <right style="thick">
        <color theme="0"/>
      </right>
      <top style="medium">
        <color rgb="FF002060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medium">
        <color rgb="FF002060"/>
      </top>
      <bottom style="thin">
        <color indexed="64"/>
      </bottom>
      <diagonal/>
    </border>
    <border>
      <left style="thick">
        <color theme="0"/>
      </left>
      <right style="thick">
        <color rgb="FF002060"/>
      </right>
      <top style="medium">
        <color rgb="FF002060"/>
      </top>
      <bottom/>
      <diagonal/>
    </border>
    <border>
      <left style="thin">
        <color indexed="64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ck">
        <color rgb="FF002060"/>
      </right>
      <top style="thin">
        <color indexed="64"/>
      </top>
      <bottom/>
      <diagonal/>
    </border>
    <border>
      <left style="thick">
        <color rgb="FF002060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rgb="FF002060"/>
      </right>
      <top style="thin">
        <color indexed="64"/>
      </top>
      <bottom style="thick">
        <color rgb="FF002060"/>
      </bottom>
      <diagonal/>
    </border>
    <border>
      <left style="thick">
        <color rgb="FF002060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7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8" fillId="0" borderId="8" xfId="0" applyFont="1" applyFill="1" applyBorder="1" applyAlignment="1" applyProtection="1">
      <alignment horizontal="center"/>
      <protection locked="0"/>
    </xf>
    <xf numFmtId="0" fontId="8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8" xfId="0" applyFont="1" applyFill="1" applyBorder="1" applyAlignment="1" applyProtection="1">
      <alignment vertical="center" wrapText="1"/>
      <protection locked="0"/>
    </xf>
    <xf numFmtId="0" fontId="18" fillId="0" borderId="8" xfId="0" applyFont="1" applyFill="1" applyBorder="1" applyAlignment="1" applyProtection="1">
      <alignment horizontal="left"/>
      <protection locked="0"/>
    </xf>
    <xf numFmtId="0" fontId="8" fillId="0" borderId="8" xfId="0" applyFont="1" applyFill="1" applyBorder="1" applyProtection="1">
      <protection locked="0"/>
    </xf>
    <xf numFmtId="0" fontId="18" fillId="0" borderId="0" xfId="0" applyFont="1" applyFill="1" applyBorder="1" applyAlignment="1" applyProtection="1">
      <protection locked="0"/>
    </xf>
    <xf numFmtId="49" fontId="0" fillId="0" borderId="0" xfId="0" applyNumberFormat="1"/>
    <xf numFmtId="0" fontId="19" fillId="4" borderId="0" xfId="0" applyFont="1" applyFill="1"/>
    <xf numFmtId="0" fontId="19" fillId="4" borderId="45" xfId="0" applyFont="1" applyFill="1" applyBorder="1"/>
    <xf numFmtId="49" fontId="0" fillId="0" borderId="45" xfId="0" applyNumberFormat="1" applyBorder="1"/>
    <xf numFmtId="0" fontId="0" fillId="0" borderId="45" xfId="0" applyBorder="1"/>
    <xf numFmtId="0" fontId="18" fillId="0" borderId="50" xfId="0" applyFont="1" applyFill="1" applyBorder="1" applyAlignment="1" applyProtection="1">
      <protection locked="0"/>
    </xf>
    <xf numFmtId="0" fontId="8" fillId="0" borderId="50" xfId="0" applyFont="1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 vertical="top"/>
      <protection locked="0"/>
    </xf>
    <xf numFmtId="0" fontId="0" fillId="0" borderId="45" xfId="0" applyNumberFormat="1" applyBorder="1"/>
    <xf numFmtId="0" fontId="24" fillId="0" borderId="57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24" fillId="0" borderId="57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 wrapText="1"/>
    </xf>
    <xf numFmtId="0" fontId="25" fillId="0" borderId="57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57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Protection="1">
      <protection locked="0"/>
    </xf>
    <xf numFmtId="0" fontId="4" fillId="0" borderId="34" xfId="0" applyFont="1" applyBorder="1" applyAlignment="1" applyProtection="1">
      <alignment horizontal="left"/>
      <protection hidden="1"/>
    </xf>
    <xf numFmtId="0" fontId="21" fillId="0" borderId="24" xfId="0" applyFont="1" applyFill="1" applyBorder="1" applyAlignment="1" applyProtection="1">
      <alignment horizontal="left"/>
      <protection hidden="1"/>
    </xf>
    <xf numFmtId="49" fontId="4" fillId="0" borderId="34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49" fontId="4" fillId="0" borderId="35" xfId="0" applyNumberFormat="1" applyFont="1" applyBorder="1" applyAlignment="1" applyProtection="1">
      <alignment horizontal="center" vertical="center"/>
      <protection hidden="1"/>
    </xf>
    <xf numFmtId="2" fontId="4" fillId="0" borderId="44" xfId="0" applyNumberFormat="1" applyFont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Protection="1">
      <protection hidden="1"/>
    </xf>
    <xf numFmtId="2" fontId="3" fillId="5" borderId="1" xfId="0" applyNumberFormat="1" applyFont="1" applyFill="1" applyBorder="1" applyProtection="1">
      <protection hidden="1"/>
    </xf>
    <xf numFmtId="0" fontId="4" fillId="0" borderId="35" xfId="0" applyFont="1" applyBorder="1" applyAlignment="1" applyProtection="1">
      <alignment horizontal="left"/>
      <protection hidden="1"/>
    </xf>
    <xf numFmtId="0" fontId="22" fillId="0" borderId="1" xfId="0" applyFont="1" applyFill="1" applyBorder="1" applyAlignment="1" applyProtection="1">
      <alignment horizontal="left"/>
      <protection hidden="1"/>
    </xf>
    <xf numFmtId="0" fontId="4" fillId="0" borderId="8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left" vertical="center"/>
      <protection hidden="1"/>
    </xf>
    <xf numFmtId="0" fontId="4" fillId="0" borderId="1" xfId="0" applyNumberFormat="1" applyFont="1" applyBorder="1" applyAlignment="1" applyProtection="1">
      <alignment horizontal="left" vertical="center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left"/>
      <protection hidden="1"/>
    </xf>
    <xf numFmtId="0" fontId="4" fillId="0" borderId="1" xfId="0" applyNumberFormat="1" applyFont="1" applyBorder="1" applyAlignment="1" applyProtection="1">
      <alignment horizontal="left"/>
      <protection hidden="1"/>
    </xf>
    <xf numFmtId="0" fontId="4" fillId="0" borderId="36" xfId="0" applyFont="1" applyBorder="1" applyAlignment="1" applyProtection="1">
      <alignment horizontal="left"/>
      <protection hidden="1"/>
    </xf>
    <xf numFmtId="0" fontId="4" fillId="0" borderId="37" xfId="0" applyFont="1" applyBorder="1" applyAlignment="1" applyProtection="1">
      <alignment horizontal="left"/>
      <protection hidden="1"/>
    </xf>
    <xf numFmtId="0" fontId="4" fillId="0" borderId="37" xfId="0" applyNumberFormat="1" applyFont="1" applyBorder="1" applyAlignment="1" applyProtection="1">
      <alignment horizontal="left"/>
      <protection hidden="1"/>
    </xf>
    <xf numFmtId="49" fontId="4" fillId="0" borderId="36" xfId="0" applyNumberFormat="1" applyFont="1" applyBorder="1" applyAlignment="1" applyProtection="1">
      <alignment horizontal="center" vertical="center"/>
      <protection hidden="1"/>
    </xf>
    <xf numFmtId="0" fontId="4" fillId="0" borderId="16" xfId="0" applyFont="1" applyBorder="1" applyAlignment="1" applyProtection="1">
      <alignment horizontal="center"/>
      <protection hidden="1"/>
    </xf>
    <xf numFmtId="0" fontId="4" fillId="0" borderId="17" xfId="0" applyFont="1" applyFill="1" applyBorder="1" applyAlignment="1" applyProtection="1">
      <alignment horizontal="center"/>
      <protection hidden="1"/>
    </xf>
    <xf numFmtId="0" fontId="4" fillId="0" borderId="16" xfId="0" applyFont="1" applyFill="1" applyBorder="1" applyAlignment="1" applyProtection="1">
      <alignment horizontal="center"/>
      <protection hidden="1"/>
    </xf>
    <xf numFmtId="2" fontId="4" fillId="0" borderId="69" xfId="0" applyNumberFormat="1" applyFont="1" applyBorder="1" applyAlignment="1" applyProtection="1">
      <alignment horizontal="center"/>
      <protection hidden="1"/>
    </xf>
    <xf numFmtId="0" fontId="23" fillId="0" borderId="1" xfId="0" applyFont="1" applyFill="1" applyBorder="1" applyAlignment="1" applyProtection="1">
      <alignment horizontal="center" vertical="center"/>
      <protection hidden="1"/>
    </xf>
    <xf numFmtId="0" fontId="23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1" fillId="3" borderId="42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0" xfId="0" applyFill="1" applyBorder="1" applyProtection="1">
      <protection locked="0"/>
    </xf>
    <xf numFmtId="0" fontId="15" fillId="0" borderId="0" xfId="0" applyFont="1" applyFill="1" applyProtection="1">
      <protection locked="0"/>
    </xf>
    <xf numFmtId="14" fontId="0" fillId="0" borderId="0" xfId="0" applyNumberFormat="1" applyFill="1" applyProtection="1">
      <protection locked="0"/>
    </xf>
    <xf numFmtId="0" fontId="9" fillId="2" borderId="0" xfId="0" applyFont="1" applyFill="1" applyBorder="1" applyAlignment="1" applyProtection="1">
      <alignment horizontal="center"/>
      <protection locked="0"/>
    </xf>
    <xf numFmtId="0" fontId="10" fillId="2" borderId="0" xfId="0" applyFont="1" applyFill="1" applyBorder="1" applyAlignment="1" applyProtection="1">
      <protection locked="0"/>
    </xf>
    <xf numFmtId="0" fontId="7" fillId="2" borderId="0" xfId="0" applyFont="1" applyFill="1" applyBorder="1" applyAlignment="1" applyProtection="1">
      <protection locked="0"/>
    </xf>
    <xf numFmtId="0" fontId="7" fillId="2" borderId="8" xfId="0" applyFont="1" applyFill="1" applyBorder="1" applyAlignment="1" applyProtection="1">
      <protection locked="0"/>
    </xf>
    <xf numFmtId="2" fontId="0" fillId="0" borderId="0" xfId="0" applyNumberFormat="1" applyFill="1" applyProtection="1"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14" fontId="4" fillId="2" borderId="0" xfId="0" applyNumberFormat="1" applyFont="1" applyFill="1" applyBorder="1" applyAlignment="1" applyProtection="1">
      <alignment horizontal="left" vertical="center"/>
      <protection locked="0"/>
    </xf>
    <xf numFmtId="0" fontId="0" fillId="2" borderId="15" xfId="0" applyFill="1" applyBorder="1" applyProtection="1">
      <protection locked="0"/>
    </xf>
    <xf numFmtId="0" fontId="11" fillId="2" borderId="16" xfId="0" applyFont="1" applyFill="1" applyBorder="1" applyAlignment="1" applyProtection="1">
      <alignment vertical="center"/>
      <protection locked="0"/>
    </xf>
    <xf numFmtId="0" fontId="0" fillId="2" borderId="16" xfId="0" applyFill="1" applyBorder="1" applyProtection="1">
      <protection locked="0"/>
    </xf>
    <xf numFmtId="0" fontId="11" fillId="2" borderId="16" xfId="0" applyFont="1" applyFill="1" applyBorder="1" applyAlignment="1" applyProtection="1">
      <alignment horizontal="center" vertical="top"/>
      <protection locked="0"/>
    </xf>
    <xf numFmtId="0" fontId="11" fillId="2" borderId="0" xfId="0" applyFont="1" applyFill="1" applyBorder="1" applyAlignment="1" applyProtection="1">
      <alignment horizontal="center" vertical="top"/>
      <protection locked="0"/>
    </xf>
    <xf numFmtId="0" fontId="12" fillId="2" borderId="0" xfId="0" applyFont="1" applyFill="1" applyBorder="1" applyAlignment="1" applyProtection="1">
      <alignment horizontal="left"/>
      <protection locked="0"/>
    </xf>
    <xf numFmtId="0" fontId="13" fillId="2" borderId="0" xfId="0" applyFont="1" applyFill="1" applyBorder="1" applyAlignment="1" applyProtection="1">
      <alignment vertical="center"/>
      <protection locked="0"/>
    </xf>
    <xf numFmtId="0" fontId="0" fillId="2" borderId="17" xfId="0" applyFill="1" applyBorder="1" applyProtection="1">
      <protection locked="0"/>
    </xf>
    <xf numFmtId="0" fontId="1" fillId="3" borderId="70" xfId="0" applyFont="1" applyFill="1" applyBorder="1" applyAlignment="1" applyProtection="1">
      <alignment horizontal="center" vertical="center" wrapText="1"/>
      <protection locked="0"/>
    </xf>
    <xf numFmtId="0" fontId="1" fillId="3" borderId="71" xfId="0" applyFont="1" applyFill="1" applyBorder="1" applyAlignment="1" applyProtection="1">
      <alignment horizontal="center" vertical="center"/>
      <protection locked="0"/>
    </xf>
    <xf numFmtId="0" fontId="1" fillId="3" borderId="25" xfId="0" applyFont="1" applyFill="1" applyBorder="1" applyAlignment="1" applyProtection="1">
      <alignment horizontal="center" vertical="center" wrapText="1"/>
      <protection locked="0"/>
    </xf>
    <xf numFmtId="0" fontId="1" fillId="3" borderId="7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14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Border="1"/>
    <xf numFmtId="0" fontId="14" fillId="0" borderId="1" xfId="0" applyFont="1" applyBorder="1" applyAlignment="1" applyProtection="1">
      <alignment horizontal="left"/>
      <protection locked="0"/>
    </xf>
    <xf numFmtId="0" fontId="14" fillId="0" borderId="37" xfId="0" applyFont="1" applyBorder="1" applyAlignment="1" applyProtection="1">
      <alignment horizontal="left"/>
      <protection locked="0"/>
    </xf>
    <xf numFmtId="14" fontId="14" fillId="0" borderId="1" xfId="0" applyNumberFormat="1" applyFont="1" applyBorder="1" applyAlignment="1" applyProtection="1">
      <alignment horizontal="left"/>
      <protection locked="0"/>
    </xf>
    <xf numFmtId="0" fontId="14" fillId="0" borderId="1" xfId="0" applyNumberFormat="1" applyFont="1" applyBorder="1" applyAlignment="1" applyProtection="1">
      <alignment horizontal="left"/>
      <protection locked="0"/>
    </xf>
    <xf numFmtId="0" fontId="14" fillId="0" borderId="37" xfId="0" applyNumberFormat="1" applyFont="1" applyBorder="1" applyAlignment="1" applyProtection="1">
      <alignment horizontal="left"/>
      <protection locked="0"/>
    </xf>
    <xf numFmtId="14" fontId="4" fillId="0" borderId="1" xfId="0" applyNumberFormat="1" applyFont="1" applyBorder="1" applyAlignment="1" applyProtection="1">
      <alignment horizontal="left" vertical="center"/>
      <protection hidden="1"/>
    </xf>
    <xf numFmtId="14" fontId="28" fillId="0" borderId="24" xfId="0" applyNumberFormat="1" applyFont="1" applyFill="1" applyBorder="1" applyAlignment="1" applyProtection="1">
      <alignment horizontal="left"/>
      <protection hidden="1"/>
    </xf>
    <xf numFmtId="0" fontId="28" fillId="0" borderId="24" xfId="0" applyNumberFormat="1" applyFont="1" applyFill="1" applyBorder="1" applyAlignment="1" applyProtection="1">
      <alignment horizontal="left"/>
      <protection hidden="1"/>
    </xf>
    <xf numFmtId="14" fontId="4" fillId="0" borderId="1" xfId="0" applyNumberFormat="1" applyFont="1" applyFill="1" applyBorder="1" applyAlignment="1" applyProtection="1">
      <alignment horizontal="left"/>
      <protection hidden="1"/>
    </xf>
    <xf numFmtId="0" fontId="4" fillId="0" borderId="1" xfId="0" applyNumberFormat="1" applyFont="1" applyFill="1" applyBorder="1" applyAlignment="1" applyProtection="1">
      <alignment horizontal="left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locked="0"/>
    </xf>
    <xf numFmtId="0" fontId="27" fillId="0" borderId="0" xfId="0" applyFont="1" applyFill="1" applyProtection="1">
      <protection locked="0"/>
    </xf>
    <xf numFmtId="0" fontId="4" fillId="0" borderId="1" xfId="0" applyFont="1" applyBorder="1" applyProtection="1">
      <protection hidden="1"/>
    </xf>
    <xf numFmtId="0" fontId="0" fillId="0" borderId="0" xfId="0" applyFill="1" applyAlignment="1" applyProtection="1">
      <alignment horizontal="center" vertical="center"/>
      <protection locked="0"/>
    </xf>
    <xf numFmtId="0" fontId="14" fillId="0" borderId="1" xfId="0" applyFont="1" applyBorder="1" applyProtection="1">
      <protection locked="0"/>
    </xf>
    <xf numFmtId="0" fontId="29" fillId="0" borderId="1" xfId="0" applyFont="1" applyFill="1" applyBorder="1" applyAlignment="1" applyProtection="1">
      <alignment horizontal="center" vertical="center"/>
      <protection locked="0"/>
    </xf>
    <xf numFmtId="0" fontId="31" fillId="0" borderId="1" xfId="0" applyFont="1" applyFill="1" applyBorder="1" applyAlignment="1" applyProtection="1">
      <alignment horizontal="center" vertical="center"/>
      <protection locked="0"/>
    </xf>
    <xf numFmtId="0" fontId="3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applyNumberFormat="1" applyFont="1" applyProtection="1">
      <protection hidden="1"/>
    </xf>
    <xf numFmtId="0" fontId="22" fillId="0" borderId="1" xfId="0" applyFont="1" applyFill="1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4" fillId="0" borderId="1" xfId="0" applyNumberFormat="1" applyFont="1" applyBorder="1" applyAlignment="1" applyProtection="1">
      <alignment horizontal="left"/>
      <protection locked="0"/>
    </xf>
    <xf numFmtId="1" fontId="14" fillId="0" borderId="1" xfId="0" applyNumberFormat="1" applyFont="1" applyBorder="1" applyAlignment="1" applyProtection="1">
      <alignment horizontal="right"/>
      <protection locked="0"/>
    </xf>
    <xf numFmtId="1" fontId="32" fillId="0" borderId="1" xfId="0" applyNumberFormat="1" applyFont="1" applyFill="1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NumberFormat="1" applyBorder="1" applyAlignment="1" applyProtection="1">
      <alignment horizontal="center"/>
      <protection locked="0"/>
    </xf>
    <xf numFmtId="14" fontId="4" fillId="0" borderId="1" xfId="0" applyNumberFormat="1" applyFont="1" applyBorder="1" applyAlignment="1" applyProtection="1">
      <alignment horizontal="left"/>
      <protection hidden="1"/>
    </xf>
    <xf numFmtId="14" fontId="3" fillId="0" borderId="0" xfId="0" applyNumberFormat="1" applyFont="1" applyAlignment="1" applyProtection="1">
      <alignment horizontal="right"/>
      <protection hidden="1"/>
    </xf>
    <xf numFmtId="0" fontId="28" fillId="0" borderId="0" xfId="0" applyFont="1" applyFill="1" applyProtection="1">
      <protection locked="0"/>
    </xf>
    <xf numFmtId="0" fontId="27" fillId="0" borderId="1" xfId="0" applyFont="1" applyBorder="1" applyAlignment="1" applyProtection="1">
      <alignment horizontal="center"/>
      <protection locked="0"/>
    </xf>
    <xf numFmtId="49" fontId="5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hidden="1"/>
    </xf>
    <xf numFmtId="0" fontId="5" fillId="0" borderId="1" xfId="0" applyFont="1" applyFill="1" applyBorder="1" applyAlignment="1" applyProtection="1">
      <alignment horizontal="center" vertical="center"/>
      <protection locked="0"/>
    </xf>
    <xf numFmtId="49" fontId="5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1" xfId="0" applyFill="1" applyBorder="1" applyProtection="1"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0" fontId="21" fillId="0" borderId="1" xfId="0" applyFont="1" applyFill="1" applyBorder="1" applyAlignment="1" applyProtection="1">
      <alignment horizontal="left"/>
      <protection locked="0"/>
    </xf>
    <xf numFmtId="14" fontId="28" fillId="0" borderId="1" xfId="0" applyNumberFormat="1" applyFont="1" applyFill="1" applyBorder="1" applyAlignment="1" applyProtection="1">
      <alignment horizontal="left"/>
      <protection locked="0"/>
    </xf>
    <xf numFmtId="49" fontId="5" fillId="0" borderId="37" xfId="0" applyNumberFormat="1" applyFont="1" applyBorder="1" applyAlignment="1" applyProtection="1">
      <alignment horizontal="center" vertical="center"/>
      <protection locked="0"/>
    </xf>
    <xf numFmtId="0" fontId="0" fillId="0" borderId="37" xfId="0" applyBorder="1" applyProtection="1">
      <protection locked="0"/>
    </xf>
    <xf numFmtId="0" fontId="0" fillId="0" borderId="37" xfId="0" applyBorder="1" applyAlignment="1" applyProtection="1">
      <alignment horizontal="center"/>
      <protection hidden="1"/>
    </xf>
    <xf numFmtId="0" fontId="0" fillId="0" borderId="37" xfId="0" applyNumberFormat="1" applyBorder="1" applyProtection="1">
      <protection locked="0"/>
    </xf>
    <xf numFmtId="0" fontId="0" fillId="0" borderId="37" xfId="0" applyNumberFormat="1" applyBorder="1" applyAlignment="1" applyProtection="1">
      <alignment horizontal="center"/>
      <protection locked="0"/>
    </xf>
    <xf numFmtId="0" fontId="0" fillId="0" borderId="37" xfId="0" applyBorder="1" applyAlignment="1" applyProtection="1">
      <alignment horizontal="center"/>
      <protection locked="0"/>
    </xf>
    <xf numFmtId="0" fontId="27" fillId="6" borderId="1" xfId="0" applyFont="1" applyFill="1" applyBorder="1" applyAlignment="1" applyProtection="1">
      <alignment horizontal="center"/>
      <protection hidden="1"/>
    </xf>
    <xf numFmtId="2" fontId="27" fillId="0" borderId="23" xfId="0" applyNumberFormat="1" applyFont="1" applyFill="1" applyBorder="1" applyAlignment="1" applyProtection="1">
      <alignment horizontal="center" vertical="center" wrapText="1"/>
      <protection locked="0"/>
    </xf>
    <xf numFmtId="0" fontId="27" fillId="0" borderId="9" xfId="0" applyFont="1" applyFill="1" applyBorder="1" applyAlignment="1" applyProtection="1">
      <alignment horizontal="center" vertical="center"/>
      <protection hidden="1"/>
    </xf>
    <xf numFmtId="0" fontId="27" fillId="0" borderId="22" xfId="0" applyFont="1" applyFill="1" applyBorder="1" applyAlignment="1" applyProtection="1">
      <alignment horizontal="center" vertical="center"/>
      <protection hidden="1"/>
    </xf>
    <xf numFmtId="2" fontId="27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27" fillId="0" borderId="51" xfId="0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Protection="1">
      <protection locked="0"/>
    </xf>
    <xf numFmtId="0" fontId="10" fillId="0" borderId="20" xfId="0" applyFont="1" applyFill="1" applyBorder="1" applyAlignment="1" applyProtection="1">
      <alignment horizontal="center"/>
      <protection locked="0"/>
    </xf>
    <xf numFmtId="0" fontId="33" fillId="0" borderId="0" xfId="0" applyFont="1" applyFill="1" applyBorder="1" applyAlignment="1" applyProtection="1">
      <protection locked="0"/>
    </xf>
    <xf numFmtId="1" fontId="21" fillId="0" borderId="21" xfId="0" applyNumberFormat="1" applyFont="1" applyFill="1" applyBorder="1" applyAlignment="1" applyProtection="1">
      <alignment horizontal="center"/>
      <protection locked="0"/>
    </xf>
    <xf numFmtId="1" fontId="28" fillId="0" borderId="21" xfId="0" applyNumberFormat="1" applyFont="1" applyFill="1" applyBorder="1" applyAlignment="1" applyProtection="1">
      <alignment horizontal="center" vertical="center"/>
      <protection hidden="1"/>
    </xf>
    <xf numFmtId="165" fontId="28" fillId="0" borderId="20" xfId="0" applyNumberFormat="1" applyFont="1" applyFill="1" applyBorder="1" applyAlignment="1" applyProtection="1">
      <alignment horizontal="center" vertical="center"/>
      <protection hidden="1"/>
    </xf>
    <xf numFmtId="0" fontId="28" fillId="0" borderId="21" xfId="0" applyFont="1" applyFill="1" applyBorder="1" applyAlignment="1" applyProtection="1">
      <alignment horizontal="center"/>
      <protection locked="0"/>
    </xf>
    <xf numFmtId="0" fontId="27" fillId="0" borderId="85" xfId="0" applyNumberFormat="1" applyFont="1" applyFill="1" applyBorder="1" applyAlignment="1" applyProtection="1">
      <alignment horizontal="center" vertical="center" wrapText="1"/>
      <protection hidden="1"/>
    </xf>
    <xf numFmtId="0" fontId="19" fillId="0" borderId="87" xfId="0" applyFont="1" applyFill="1" applyBorder="1" applyAlignment="1" applyProtection="1">
      <alignment vertical="center" wrapText="1"/>
      <protection locked="0"/>
    </xf>
    <xf numFmtId="0" fontId="19" fillId="0" borderId="89" xfId="0" applyFont="1" applyFill="1" applyBorder="1" applyAlignment="1" applyProtection="1">
      <alignment vertical="center" wrapText="1"/>
      <protection locked="0"/>
    </xf>
    <xf numFmtId="0" fontId="27" fillId="0" borderId="88" xfId="0" applyNumberFormat="1" applyFont="1" applyFill="1" applyBorder="1" applyAlignment="1" applyProtection="1">
      <alignment horizontal="center" vertical="center"/>
      <protection hidden="1"/>
    </xf>
    <xf numFmtId="0" fontId="10" fillId="0" borderId="92" xfId="0" applyFont="1" applyFill="1" applyBorder="1" applyAlignment="1" applyProtection="1">
      <alignment horizontal="center" vertical="center" wrapText="1"/>
      <protection locked="0"/>
    </xf>
    <xf numFmtId="0" fontId="27" fillId="0" borderId="46" xfId="0" applyFont="1" applyFill="1" applyBorder="1" applyAlignment="1" applyProtection="1">
      <alignment horizontal="center" vertical="center"/>
      <protection hidden="1"/>
    </xf>
    <xf numFmtId="0" fontId="27" fillId="0" borderId="48" xfId="0" applyFont="1" applyFill="1" applyBorder="1" applyAlignment="1" applyProtection="1">
      <alignment horizontal="center" vertical="center"/>
      <protection hidden="1"/>
    </xf>
    <xf numFmtId="0" fontId="27" fillId="0" borderId="96" xfId="0" applyFont="1" applyFill="1" applyBorder="1" applyAlignment="1" applyProtection="1">
      <alignment horizontal="center" vertical="center"/>
      <protection hidden="1"/>
    </xf>
    <xf numFmtId="0" fontId="27" fillId="0" borderId="99" xfId="0" applyFont="1" applyFill="1" applyBorder="1" applyAlignment="1" applyProtection="1">
      <alignment horizontal="center" vertical="center"/>
      <protection hidden="1"/>
    </xf>
    <xf numFmtId="0" fontId="27" fillId="0" borderId="88" xfId="0" applyFont="1" applyFill="1" applyBorder="1" applyAlignment="1" applyProtection="1">
      <alignment horizontal="center" vertical="center"/>
      <protection hidden="1"/>
    </xf>
    <xf numFmtId="0" fontId="27" fillId="0" borderId="90" xfId="0" applyFont="1" applyFill="1" applyBorder="1" applyAlignment="1" applyProtection="1">
      <alignment horizontal="center" vertical="center"/>
      <protection hidden="1"/>
    </xf>
    <xf numFmtId="0" fontId="27" fillId="0" borderId="93" xfId="0" applyFont="1" applyFill="1" applyBorder="1" applyAlignment="1" applyProtection="1">
      <alignment horizontal="center" vertical="center"/>
      <protection hidden="1"/>
    </xf>
    <xf numFmtId="0" fontId="27" fillId="0" borderId="95" xfId="0" applyFont="1" applyFill="1" applyBorder="1" applyAlignment="1" applyProtection="1">
      <alignment horizontal="center" vertical="center"/>
      <protection hidden="1"/>
    </xf>
    <xf numFmtId="0" fontId="19" fillId="0" borderId="47" xfId="0" applyFont="1" applyFill="1" applyBorder="1" applyAlignment="1" applyProtection="1">
      <alignment horizontal="center" vertical="center"/>
      <protection locked="0"/>
    </xf>
    <xf numFmtId="0" fontId="19" fillId="0" borderId="94" xfId="0" applyFont="1" applyFill="1" applyBorder="1" applyAlignment="1" applyProtection="1">
      <alignment horizontal="center" vertical="center"/>
      <protection locked="0"/>
    </xf>
    <xf numFmtId="0" fontId="34" fillId="0" borderId="98" xfId="0" applyFont="1" applyFill="1" applyBorder="1" applyAlignment="1" applyProtection="1">
      <alignment horizontal="center" vertical="center"/>
      <protection locked="0"/>
    </xf>
    <xf numFmtId="0" fontId="19" fillId="0" borderId="101" xfId="0" applyFont="1" applyFill="1" applyBorder="1" applyAlignment="1" applyProtection="1">
      <alignment horizontal="center" vertical="center"/>
      <protection locked="0"/>
    </xf>
    <xf numFmtId="2" fontId="19" fillId="0" borderId="68" xfId="0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right"/>
      <protection locked="0"/>
    </xf>
    <xf numFmtId="164" fontId="10" fillId="0" borderId="0" xfId="0" applyNumberFormat="1" applyFont="1" applyFill="1" applyBorder="1" applyAlignment="1" applyProtection="1">
      <alignment horizontal="center"/>
      <protection locked="0"/>
    </xf>
    <xf numFmtId="49" fontId="5" fillId="0" borderId="37" xfId="0" applyNumberFormat="1" applyFont="1" applyFill="1" applyBorder="1" applyAlignment="1" applyProtection="1">
      <alignment horizontal="center" vertical="center"/>
      <protection locked="0"/>
    </xf>
    <xf numFmtId="0" fontId="27" fillId="6" borderId="38" xfId="0" applyFont="1" applyFill="1" applyBorder="1" applyAlignment="1" applyProtection="1">
      <alignment horizontal="center"/>
      <protection hidden="1"/>
    </xf>
    <xf numFmtId="0" fontId="27" fillId="6" borderId="37" xfId="0" applyFont="1" applyFill="1" applyBorder="1" applyAlignment="1" applyProtection="1">
      <alignment horizontal="center"/>
      <protection hidden="1"/>
    </xf>
    <xf numFmtId="0" fontId="27" fillId="6" borderId="102" xfId="0" applyFont="1" applyFill="1" applyBorder="1" applyAlignment="1" applyProtection="1">
      <alignment horizontal="center"/>
      <protection hidden="1"/>
    </xf>
    <xf numFmtId="0" fontId="14" fillId="0" borderId="1" xfId="0" applyFont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hidden="1"/>
    </xf>
    <xf numFmtId="166" fontId="0" fillId="6" borderId="1" xfId="0" applyNumberFormat="1" applyFill="1" applyBorder="1" applyAlignment="1" applyProtection="1">
      <alignment horizontal="center"/>
      <protection hidden="1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0" borderId="37" xfId="0" applyFont="1" applyBorder="1" applyAlignment="1" applyProtection="1">
      <alignment horizontal="center"/>
      <protection locked="0"/>
    </xf>
    <xf numFmtId="0" fontId="14" fillId="0" borderId="37" xfId="0" applyFont="1" applyBorder="1" applyProtection="1">
      <protection locked="0"/>
    </xf>
    <xf numFmtId="0" fontId="0" fillId="6" borderId="37" xfId="0" applyFill="1" applyBorder="1" applyAlignment="1" applyProtection="1">
      <alignment horizontal="center"/>
      <protection hidden="1"/>
    </xf>
    <xf numFmtId="166" fontId="0" fillId="6" borderId="37" xfId="0" applyNumberFormat="1" applyFill="1" applyBorder="1" applyAlignment="1" applyProtection="1">
      <alignment horizontal="center"/>
      <protection hidden="1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27" fillId="0" borderId="51" xfId="0" applyFont="1" applyFill="1" applyBorder="1" applyAlignment="1" applyProtection="1">
      <alignment horizontal="center" vertical="center"/>
      <protection hidden="1"/>
    </xf>
    <xf numFmtId="49" fontId="4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NumberFormat="1" applyFont="1" applyBorder="1" applyAlignment="1" applyProtection="1">
      <alignment horizontal="center"/>
      <protection hidden="1"/>
    </xf>
    <xf numFmtId="49" fontId="4" fillId="0" borderId="7" xfId="0" applyNumberFormat="1" applyFont="1" applyBorder="1" applyAlignment="1" applyProtection="1">
      <alignment horizontal="center" vertical="center"/>
      <protection hidden="1"/>
    </xf>
    <xf numFmtId="49" fontId="4" fillId="0" borderId="15" xfId="0" applyNumberFormat="1" applyFont="1" applyBorder="1" applyAlignment="1" applyProtection="1">
      <alignment horizontal="center" vertical="center"/>
      <protection hidden="1"/>
    </xf>
    <xf numFmtId="0" fontId="4" fillId="0" borderId="16" xfId="0" applyNumberFormat="1" applyFont="1" applyBorder="1" applyAlignment="1" applyProtection="1">
      <alignment horizontal="center"/>
      <protection hidden="1"/>
    </xf>
    <xf numFmtId="0" fontId="4" fillId="0" borderId="7" xfId="0" applyNumberFormat="1" applyFont="1" applyBorder="1" applyAlignment="1" applyProtection="1">
      <alignment horizontal="center" vertical="center"/>
      <protection hidden="1"/>
    </xf>
    <xf numFmtId="0" fontId="4" fillId="0" borderId="7" xfId="0" applyNumberFormat="1" applyFont="1" applyBorder="1" applyAlignment="1" applyProtection="1">
      <alignment horizontal="center"/>
      <protection hidden="1"/>
    </xf>
    <xf numFmtId="0" fontId="4" fillId="0" borderId="15" xfId="0" applyNumberFormat="1" applyFont="1" applyBorder="1" applyAlignment="1" applyProtection="1">
      <alignment horizontal="center"/>
      <protection hidden="1"/>
    </xf>
    <xf numFmtId="0" fontId="4" fillId="0" borderId="7" xfId="0" applyFont="1" applyBorder="1" applyAlignment="1" applyProtection="1">
      <alignment horizontal="center"/>
      <protection hidden="1"/>
    </xf>
    <xf numFmtId="0" fontId="4" fillId="0" borderId="18" xfId="0" applyFont="1" applyFill="1" applyBorder="1" applyAlignment="1" applyProtection="1">
      <alignment horizontal="center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/>
      <protection hidden="1"/>
    </xf>
    <xf numFmtId="0" fontId="4" fillId="0" borderId="40" xfId="0" applyFont="1" applyFill="1" applyBorder="1" applyAlignment="1" applyProtection="1">
      <alignment horizontal="center"/>
      <protection hidden="1"/>
    </xf>
    <xf numFmtId="49" fontId="4" fillId="0" borderId="16" xfId="0" applyNumberFormat="1" applyFont="1" applyBorder="1" applyAlignment="1" applyProtection="1">
      <alignment horizontal="center" vertical="center"/>
      <protection hidden="1"/>
    </xf>
    <xf numFmtId="0" fontId="14" fillId="7" borderId="1" xfId="0" applyFont="1" applyFill="1" applyBorder="1" applyAlignment="1" applyProtection="1">
      <alignment horizontal="center"/>
      <protection locked="0"/>
    </xf>
    <xf numFmtId="0" fontId="35" fillId="0" borderId="89" xfId="0" applyFont="1" applyFill="1" applyBorder="1" applyAlignment="1" applyProtection="1">
      <alignment horizontal="center" vertical="center" wrapText="1"/>
      <protection hidden="1"/>
    </xf>
    <xf numFmtId="0" fontId="27" fillId="0" borderId="89" xfId="0" applyFont="1" applyFill="1" applyBorder="1" applyAlignment="1" applyProtection="1">
      <alignment horizontal="center" vertical="center" wrapText="1"/>
      <protection hidden="1"/>
    </xf>
    <xf numFmtId="49" fontId="0" fillId="0" borderId="103" xfId="0" applyNumberFormat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6" fillId="3" borderId="61" xfId="0" applyFont="1" applyFill="1" applyBorder="1" applyAlignment="1" applyProtection="1">
      <alignment horizontal="center" vertical="center"/>
      <protection locked="0"/>
    </xf>
    <xf numFmtId="0" fontId="6" fillId="3" borderId="59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29" xfId="0" applyFont="1" applyFill="1" applyBorder="1" applyAlignment="1" applyProtection="1">
      <alignment horizontal="center" vertical="center" wrapText="1"/>
      <protection locked="0"/>
    </xf>
    <xf numFmtId="0" fontId="6" fillId="3" borderId="41" xfId="0" applyFont="1" applyFill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14" xfId="0" applyFont="1" applyFill="1" applyBorder="1" applyAlignment="1" applyProtection="1">
      <alignment horizontal="center" vertical="center" wrapText="1"/>
      <protection locked="0"/>
    </xf>
    <xf numFmtId="0" fontId="6" fillId="3" borderId="32" xfId="0" applyFont="1" applyFill="1" applyBorder="1" applyAlignment="1" applyProtection="1">
      <alignment horizontal="center" vertical="center" wrapText="1"/>
      <protection locked="0"/>
    </xf>
    <xf numFmtId="0" fontId="6" fillId="3" borderId="73" xfId="0" applyFont="1" applyFill="1" applyBorder="1" applyAlignment="1" applyProtection="1">
      <alignment horizontal="center" vertical="center" wrapText="1"/>
      <protection locked="0"/>
    </xf>
    <xf numFmtId="0" fontId="6" fillId="3" borderId="58" xfId="0" applyFont="1" applyFill="1" applyBorder="1" applyAlignment="1" applyProtection="1">
      <alignment horizontal="center" vertical="center"/>
      <protection locked="0"/>
    </xf>
    <xf numFmtId="0" fontId="6" fillId="3" borderId="35" xfId="0" applyFont="1" applyFill="1" applyBorder="1" applyAlignment="1" applyProtection="1">
      <alignment horizontal="center" vertical="center"/>
      <protection locked="0"/>
    </xf>
    <xf numFmtId="0" fontId="6" fillId="3" borderId="75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14" xfId="0" applyFont="1" applyFill="1" applyBorder="1" applyAlignment="1" applyProtection="1">
      <alignment horizontal="center" vertical="center"/>
      <protection locked="0"/>
    </xf>
    <xf numFmtId="0" fontId="6" fillId="3" borderId="59" xfId="0" applyFont="1" applyFill="1" applyBorder="1" applyAlignment="1" applyProtection="1">
      <alignment horizontal="center" vertical="center" wrapText="1"/>
      <protection locked="0"/>
    </xf>
    <xf numFmtId="0" fontId="6" fillId="3" borderId="60" xfId="0" applyFont="1" applyFill="1" applyBorder="1" applyAlignment="1" applyProtection="1">
      <alignment horizontal="center" vertical="center" wrapText="1"/>
      <protection locked="0"/>
    </xf>
    <xf numFmtId="0" fontId="6" fillId="3" borderId="12" xfId="0" applyFont="1" applyFill="1" applyBorder="1" applyAlignment="1" applyProtection="1">
      <alignment horizontal="center" vertical="center" wrapText="1"/>
      <protection locked="0"/>
    </xf>
    <xf numFmtId="0" fontId="6" fillId="3" borderId="9" xfId="0" applyFont="1" applyFill="1" applyBorder="1" applyAlignment="1" applyProtection="1">
      <alignment horizontal="center" vertical="center" wrapText="1"/>
      <protection locked="0"/>
    </xf>
    <xf numFmtId="0" fontId="6" fillId="3" borderId="64" xfId="0" applyFont="1" applyFill="1" applyBorder="1" applyAlignment="1" applyProtection="1">
      <alignment horizontal="center" vertical="center"/>
      <protection locked="0"/>
    </xf>
    <xf numFmtId="0" fontId="6" fillId="3" borderId="65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center" vertical="center" wrapText="1"/>
      <protection locked="0"/>
    </xf>
    <xf numFmtId="0" fontId="6" fillId="3" borderId="10" xfId="0" applyFont="1" applyFill="1" applyBorder="1" applyAlignment="1" applyProtection="1">
      <alignment horizontal="center" vertical="center" wrapText="1"/>
      <protection locked="0"/>
    </xf>
    <xf numFmtId="0" fontId="6" fillId="3" borderId="38" xfId="0" applyFont="1" applyFill="1" applyBorder="1" applyAlignment="1" applyProtection="1">
      <alignment horizontal="center" vertical="center" wrapText="1"/>
      <protection locked="0"/>
    </xf>
    <xf numFmtId="0" fontId="6" fillId="3" borderId="74" xfId="0" applyFont="1" applyFill="1" applyBorder="1" applyAlignment="1" applyProtection="1">
      <alignment horizontal="center" vertical="center" wrapText="1"/>
      <protection locked="0"/>
    </xf>
    <xf numFmtId="0" fontId="6" fillId="3" borderId="63" xfId="0" applyFont="1" applyFill="1" applyBorder="1" applyAlignment="1" applyProtection="1">
      <alignment horizontal="center" vertical="center"/>
      <protection locked="0"/>
    </xf>
    <xf numFmtId="0" fontId="6" fillId="3" borderId="43" xfId="0" applyFont="1" applyFill="1" applyBorder="1" applyAlignment="1" applyProtection="1">
      <alignment horizontal="center" vertical="center"/>
      <protection locked="0"/>
    </xf>
    <xf numFmtId="0" fontId="4" fillId="0" borderId="22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6" fillId="3" borderId="51" xfId="0" applyFont="1" applyFill="1" applyBorder="1" applyAlignment="1" applyProtection="1">
      <alignment horizontal="center" vertical="center" wrapText="1"/>
      <protection locked="0"/>
    </xf>
    <xf numFmtId="0" fontId="6" fillId="3" borderId="34" xfId="0" applyFont="1" applyFill="1" applyBorder="1" applyAlignment="1" applyProtection="1">
      <alignment horizontal="center" vertical="center" wrapText="1"/>
      <protection locked="0"/>
    </xf>
    <xf numFmtId="0" fontId="6" fillId="3" borderId="35" xfId="0" applyFont="1" applyFill="1" applyBorder="1" applyAlignment="1" applyProtection="1">
      <alignment horizontal="center" vertical="center" wrapText="1"/>
      <protection locked="0"/>
    </xf>
    <xf numFmtId="0" fontId="6" fillId="3" borderId="39" xfId="0" applyFont="1" applyFill="1" applyBorder="1" applyAlignment="1" applyProtection="1">
      <alignment horizontal="center" vertical="center" wrapText="1"/>
      <protection locked="0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6" xfId="0" applyFont="1" applyFill="1" applyBorder="1" applyAlignment="1" applyProtection="1">
      <alignment horizontal="center" vertical="center"/>
      <protection locked="0"/>
    </xf>
    <xf numFmtId="0" fontId="6" fillId="3" borderId="24" xfId="0" applyFont="1" applyFill="1" applyBorder="1" applyAlignment="1" applyProtection="1">
      <alignment horizontal="center" vertical="center" wrapText="1"/>
      <protection locked="0"/>
    </xf>
    <xf numFmtId="0" fontId="6" fillId="3" borderId="26" xfId="0" applyFont="1" applyFill="1" applyBorder="1" applyAlignment="1" applyProtection="1">
      <alignment horizontal="center" vertical="center" wrapText="1"/>
      <protection locked="0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6" fillId="3" borderId="31" xfId="0" applyFont="1" applyFill="1" applyBorder="1" applyAlignment="1" applyProtection="1">
      <alignment horizontal="center" vertical="center"/>
      <protection locked="0"/>
    </xf>
    <xf numFmtId="0" fontId="6" fillId="3" borderId="42" xfId="0" applyFont="1" applyFill="1" applyBorder="1" applyAlignment="1" applyProtection="1">
      <alignment horizontal="center" vertical="center"/>
      <protection locked="0"/>
    </xf>
    <xf numFmtId="0" fontId="6" fillId="3" borderId="25" xfId="0" applyFont="1" applyFill="1" applyBorder="1" applyAlignment="1" applyProtection="1">
      <alignment horizontal="center" vertical="center"/>
      <protection locked="0"/>
    </xf>
    <xf numFmtId="0" fontId="6" fillId="3" borderId="27" xfId="0" applyFont="1" applyFill="1" applyBorder="1" applyAlignment="1" applyProtection="1">
      <alignment horizontal="center" vertical="center"/>
      <protection locked="0"/>
    </xf>
    <xf numFmtId="0" fontId="6" fillId="3" borderId="30" xfId="0" applyFont="1" applyFill="1" applyBorder="1" applyAlignment="1" applyProtection="1">
      <alignment horizontal="center" vertical="center" wrapText="1"/>
      <protection locked="0"/>
    </xf>
    <xf numFmtId="0" fontId="6" fillId="3" borderId="52" xfId="0" applyFont="1" applyFill="1" applyBorder="1" applyAlignment="1" applyProtection="1">
      <alignment horizontal="center" vertical="center" wrapText="1"/>
      <protection locked="0"/>
    </xf>
    <xf numFmtId="0" fontId="6" fillId="3" borderId="53" xfId="0" applyFont="1" applyFill="1" applyBorder="1" applyAlignment="1" applyProtection="1">
      <alignment horizontal="center" vertical="center" wrapText="1"/>
      <protection locked="0"/>
    </xf>
    <xf numFmtId="0" fontId="6" fillId="3" borderId="54" xfId="0" applyFont="1" applyFill="1" applyBorder="1" applyAlignment="1" applyProtection="1">
      <alignment horizontal="center" vertical="center"/>
      <protection locked="0"/>
    </xf>
    <xf numFmtId="0" fontId="6" fillId="3" borderId="33" xfId="0" applyFont="1" applyFill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6" fillId="3" borderId="67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Border="1" applyAlignment="1" applyProtection="1">
      <alignment horizontal="left"/>
      <protection locked="0"/>
    </xf>
    <xf numFmtId="0" fontId="0" fillId="0" borderId="9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18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9" fillId="0" borderId="84" xfId="0" applyFont="1" applyFill="1" applyBorder="1" applyAlignment="1" applyProtection="1">
      <alignment horizontal="center" vertical="center" wrapText="1"/>
      <protection locked="0"/>
    </xf>
    <xf numFmtId="0" fontId="19" fillId="0" borderId="86" xfId="0" applyFont="1" applyFill="1" applyBorder="1" applyAlignment="1" applyProtection="1">
      <alignment horizontal="center" vertical="center" wrapText="1"/>
      <protection locked="0"/>
    </xf>
    <xf numFmtId="0" fontId="27" fillId="0" borderId="96" xfId="0" applyFont="1" applyFill="1" applyBorder="1" applyAlignment="1" applyProtection="1">
      <alignment horizontal="left" vertical="center" wrapText="1"/>
      <protection hidden="1"/>
    </xf>
    <xf numFmtId="0" fontId="27" fillId="0" borderId="97" xfId="0" applyFont="1" applyFill="1" applyBorder="1" applyAlignment="1" applyProtection="1">
      <alignment horizontal="left" vertical="center" wrapText="1"/>
      <protection hidden="1"/>
    </xf>
    <xf numFmtId="0" fontId="3" fillId="2" borderId="0" xfId="0" applyFont="1" applyFill="1" applyAlignment="1" applyProtection="1">
      <alignment horizontal="left"/>
      <protection locked="0"/>
    </xf>
    <xf numFmtId="0" fontId="27" fillId="0" borderId="22" xfId="0" applyFont="1" applyFill="1" applyBorder="1" applyAlignment="1" applyProtection="1">
      <alignment horizontal="left" vertical="center" wrapText="1"/>
      <protection hidden="1"/>
    </xf>
    <xf numFmtId="0" fontId="27" fillId="0" borderId="18" xfId="0" applyFont="1" applyFill="1" applyBorder="1" applyAlignment="1" applyProtection="1">
      <alignment horizontal="left" vertical="center" wrapText="1"/>
      <protection hidden="1"/>
    </xf>
    <xf numFmtId="0" fontId="27" fillId="0" borderId="46" xfId="0" applyFont="1" applyFill="1" applyBorder="1" applyAlignment="1" applyProtection="1">
      <alignment horizontal="left" vertical="center" wrapText="1"/>
      <protection hidden="1"/>
    </xf>
    <xf numFmtId="0" fontId="27" fillId="0" borderId="55" xfId="0" applyFont="1" applyFill="1" applyBorder="1" applyAlignment="1" applyProtection="1">
      <alignment horizontal="left" vertical="center" wrapText="1"/>
      <protection hidden="1"/>
    </xf>
    <xf numFmtId="0" fontId="27" fillId="0" borderId="66" xfId="0" applyFont="1" applyFill="1" applyBorder="1" applyAlignment="1" applyProtection="1">
      <alignment horizontal="center" vertical="center"/>
      <protection hidden="1"/>
    </xf>
    <xf numFmtId="0" fontId="27" fillId="0" borderId="100" xfId="0" applyFont="1" applyFill="1" applyBorder="1" applyAlignment="1" applyProtection="1">
      <alignment horizontal="center" vertical="center"/>
      <protection hidden="1"/>
    </xf>
    <xf numFmtId="0" fontId="19" fillId="0" borderId="91" xfId="0" applyFont="1" applyFill="1" applyBorder="1" applyAlignment="1" applyProtection="1">
      <alignment horizontal="right" vertical="center" wrapText="1" indent="1"/>
      <protection locked="0"/>
    </xf>
    <xf numFmtId="0" fontId="19" fillId="0" borderId="49" xfId="0" applyFont="1" applyFill="1" applyBorder="1" applyAlignment="1" applyProtection="1">
      <alignment horizontal="right" vertical="center" wrapText="1" indent="1"/>
      <protection locked="0"/>
    </xf>
    <xf numFmtId="0" fontId="27" fillId="0" borderId="51" xfId="0" applyFont="1" applyFill="1" applyBorder="1" applyAlignment="1" applyProtection="1">
      <alignment horizontal="center" vertical="center"/>
      <protection hidden="1"/>
    </xf>
    <xf numFmtId="0" fontId="20" fillId="2" borderId="0" xfId="0" applyFont="1" applyFill="1" applyBorder="1" applyAlignment="1" applyProtection="1">
      <alignment horizontal="left" vertical="center" wrapText="1"/>
      <protection locked="0"/>
    </xf>
    <xf numFmtId="0" fontId="20" fillId="2" borderId="0" xfId="0" applyFont="1" applyFill="1" applyBorder="1" applyAlignment="1" applyProtection="1">
      <alignment horizontal="left" vertical="center"/>
      <protection locked="0"/>
    </xf>
    <xf numFmtId="0" fontId="20" fillId="2" borderId="5" xfId="0" applyFont="1" applyFill="1" applyBorder="1" applyAlignment="1" applyProtection="1">
      <alignment horizontal="left"/>
      <protection locked="0"/>
    </xf>
    <xf numFmtId="0" fontId="19" fillId="0" borderId="76" xfId="0" applyFont="1" applyFill="1" applyBorder="1" applyAlignment="1" applyProtection="1">
      <alignment horizontal="left"/>
      <protection locked="0"/>
    </xf>
    <xf numFmtId="0" fontId="19" fillId="0" borderId="77" xfId="0" applyFont="1" applyFill="1" applyBorder="1" applyAlignment="1" applyProtection="1">
      <alignment horizontal="left"/>
      <protection locked="0"/>
    </xf>
    <xf numFmtId="0" fontId="19" fillId="0" borderId="78" xfId="0" applyFont="1" applyFill="1" applyBorder="1" applyAlignment="1" applyProtection="1">
      <alignment horizontal="left"/>
      <protection locked="0"/>
    </xf>
    <xf numFmtId="0" fontId="27" fillId="0" borderId="22" xfId="0" applyNumberFormat="1" applyFont="1" applyFill="1" applyBorder="1" applyAlignment="1" applyProtection="1">
      <alignment horizontal="left" vertical="center" wrapText="1"/>
      <protection hidden="1"/>
    </xf>
    <xf numFmtId="0" fontId="27" fillId="0" borderId="18" xfId="0" applyNumberFormat="1" applyFont="1" applyFill="1" applyBorder="1" applyAlignment="1" applyProtection="1">
      <alignment horizontal="left" vertical="center" wrapText="1"/>
      <protection hidden="1"/>
    </xf>
    <xf numFmtId="0" fontId="3" fillId="2" borderId="0" xfId="0" applyFont="1" applyFill="1" applyBorder="1" applyAlignment="1" applyProtection="1">
      <alignment horizontal="center"/>
      <protection locked="0"/>
    </xf>
    <xf numFmtId="0" fontId="3" fillId="2" borderId="0" xfId="0" applyFont="1" applyFill="1" applyBorder="1" applyAlignment="1" applyProtection="1">
      <alignment horizontal="left"/>
      <protection locked="0"/>
    </xf>
    <xf numFmtId="0" fontId="27" fillId="0" borderId="14" xfId="0" applyFont="1" applyFill="1" applyBorder="1" applyAlignment="1" applyProtection="1">
      <alignment horizontal="center" vertical="center"/>
      <protection hidden="1"/>
    </xf>
    <xf numFmtId="164" fontId="28" fillId="0" borderId="21" xfId="0" applyNumberFormat="1" applyFont="1" applyFill="1" applyBorder="1" applyAlignment="1" applyProtection="1">
      <alignment horizontal="center"/>
      <protection locked="0"/>
    </xf>
    <xf numFmtId="0" fontId="28" fillId="0" borderId="20" xfId="0" applyFont="1" applyFill="1" applyBorder="1" applyAlignment="1" applyProtection="1">
      <alignment horizontal="center"/>
      <protection hidden="1"/>
    </xf>
    <xf numFmtId="0" fontId="27" fillId="0" borderId="9" xfId="0" applyFont="1" applyFill="1" applyBorder="1" applyAlignment="1" applyProtection="1">
      <alignment horizontal="left" vertical="center" wrapText="1"/>
      <protection hidden="1"/>
    </xf>
    <xf numFmtId="0" fontId="27" fillId="0" borderId="10" xfId="0" applyFont="1" applyFill="1" applyBorder="1" applyAlignment="1" applyProtection="1">
      <alignment horizontal="left" vertical="center" wrapText="1"/>
      <protection hidden="1"/>
    </xf>
    <xf numFmtId="0" fontId="19" fillId="0" borderId="79" xfId="0" applyFont="1" applyFill="1" applyBorder="1" applyAlignment="1" applyProtection="1">
      <alignment horizontal="center" vertical="center" wrapText="1"/>
      <protection locked="0"/>
    </xf>
    <xf numFmtId="0" fontId="19" fillId="0" borderId="85" xfId="0" applyFont="1" applyFill="1" applyBorder="1" applyAlignment="1" applyProtection="1">
      <alignment horizontal="center" vertical="center" wrapText="1"/>
      <protection locked="0"/>
    </xf>
    <xf numFmtId="0" fontId="19" fillId="0" borderId="80" xfId="0" applyFont="1" applyFill="1" applyBorder="1" applyAlignment="1" applyProtection="1">
      <alignment horizontal="center" vertical="center" wrapText="1"/>
      <protection locked="0"/>
    </xf>
    <xf numFmtId="0" fontId="19" fillId="0" borderId="81" xfId="0" applyFont="1" applyFill="1" applyBorder="1" applyAlignment="1" applyProtection="1">
      <alignment horizontal="center" vertical="center" wrapText="1"/>
      <protection locked="0"/>
    </xf>
    <xf numFmtId="0" fontId="19" fillId="0" borderId="22" xfId="0" applyFont="1" applyFill="1" applyBorder="1" applyAlignment="1" applyProtection="1">
      <alignment horizontal="center" vertical="center" wrapText="1"/>
      <protection locked="0"/>
    </xf>
    <xf numFmtId="0" fontId="19" fillId="0" borderId="18" xfId="0" applyFont="1" applyFill="1" applyBorder="1" applyAlignment="1" applyProtection="1">
      <alignment horizontal="center" vertical="center" wrapText="1"/>
      <protection locked="0"/>
    </xf>
    <xf numFmtId="0" fontId="19" fillId="0" borderId="82" xfId="0" applyFont="1" applyFill="1" applyBorder="1" applyAlignment="1" applyProtection="1">
      <alignment horizontal="center" vertical="center" wrapText="1"/>
      <protection locked="0"/>
    </xf>
    <xf numFmtId="0" fontId="19" fillId="0" borderId="14" xfId="0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0" fontId="19" fillId="0" borderId="83" xfId="0" applyFont="1" applyFill="1" applyBorder="1" applyAlignment="1" applyProtection="1">
      <alignment horizontal="center" vertical="center" wrapText="1"/>
      <protection locked="0"/>
    </xf>
    <xf numFmtId="0" fontId="19" fillId="0" borderId="19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57"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alignment horizontal="center" vertical="bottom" textRotation="0" wrapText="0" indent="0" relativeIndent="255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protection locked="1" hidden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yyyy/mm/dd"/>
      <protection locked="1" hidden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1" hidden="1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readingOrder="0"/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indent="0" relativeIndent="255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  <color rgb="FFC0000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Achievement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3.3005636130421644E-2"/>
          <c:y val="0.17399366072413944"/>
          <c:w val="0.95082237129035818"/>
          <c:h val="0.54570045912875964"/>
        </c:manualLayout>
      </c:layout>
      <c:barChart>
        <c:barDir val="col"/>
        <c:grouping val="clustered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strRef>
              <c:f>PROCESSING!$AI$157:$AI$163</c:f>
              <c:strCache>
                <c:ptCount val="7"/>
                <c:pt idx="0">
                  <c:v>A+ (=4 GPA)</c:v>
                </c:pt>
                <c:pt idx="1">
                  <c:v>A (&gt;=3.6 GPA)</c:v>
                </c:pt>
                <c:pt idx="2">
                  <c:v>B+ (&gt;=3.2 GPA)</c:v>
                </c:pt>
                <c:pt idx="3">
                  <c:v>B (&gt;=2.8 GPA)</c:v>
                </c:pt>
                <c:pt idx="4">
                  <c:v>C+ (&gt;=2.4 GPA)</c:v>
                </c:pt>
                <c:pt idx="5">
                  <c:v>C (&gt;=2 GPA)</c:v>
                </c:pt>
                <c:pt idx="6">
                  <c:v>D (&gt;=1.6)</c:v>
                </c:pt>
              </c:strCache>
            </c:strRef>
          </c:cat>
          <c:val>
            <c:numRef>
              <c:f>PROCESSING!$AJ$157:$AJ$163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7DA-465C-8C4F-18D80D24AEC5}"/>
            </c:ext>
          </c:extLst>
        </c:ser>
        <c:gapWidth val="100"/>
        <c:overlap val="-24"/>
        <c:axId val="165364480"/>
        <c:axId val="165366016"/>
      </c:barChart>
      <c:catAx>
        <c:axId val="165364480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66016"/>
        <c:crosses val="autoZero"/>
        <c:auto val="1"/>
        <c:lblAlgn val="ctr"/>
        <c:lblOffset val="100"/>
      </c:catAx>
      <c:valAx>
        <c:axId val="1653660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6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2" Type="http://schemas.openxmlformats.org/officeDocument/2006/relationships/hyperlink" Target="https://www.facebook.com/saa.roj.3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youtube.com/c/NepaliBook" TargetMode="External"/><Relationship Id="rId11" Type="http://schemas.openxmlformats.org/officeDocument/2006/relationships/image" Target="../media/image7.png"/><Relationship Id="rId5" Type="http://schemas.openxmlformats.org/officeDocument/2006/relationships/image" Target="../media/image2.jpeg"/><Relationship Id="rId10" Type="http://schemas.openxmlformats.org/officeDocument/2006/relationships/image" Target="../media/image6.png"/><Relationship Id="rId4" Type="http://schemas.openxmlformats.org/officeDocument/2006/relationships/hyperlink" Target="suraj%20bhattarai" TargetMode="External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125504</xdr:rowOff>
    </xdr:from>
    <xdr:to>
      <xdr:col>21</xdr:col>
      <xdr:colOff>0</xdr:colOff>
      <xdr:row>33</xdr:row>
      <xdr:rowOff>0</xdr:rowOff>
    </xdr:to>
    <xdr:sp macro="" textlink="">
      <xdr:nvSpPr>
        <xdr:cNvPr id="4" name="Rounded Rectangle 3"/>
        <xdr:cNvSpPr>
          <a:spLocks/>
        </xdr:cNvSpPr>
      </xdr:nvSpPr>
      <xdr:spPr>
        <a:xfrm>
          <a:off x="389218" y="125504"/>
          <a:ext cx="12213664" cy="5970496"/>
        </a:xfrm>
        <a:prstGeom prst="roundRect">
          <a:avLst>
            <a:gd name="adj" fmla="val 7348"/>
          </a:avLst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503919</xdr:colOff>
      <xdr:row>8</xdr:row>
      <xdr:rowOff>30336</xdr:rowOff>
    </xdr:from>
    <xdr:to>
      <xdr:col>16</xdr:col>
      <xdr:colOff>115299</xdr:colOff>
      <xdr:row>18</xdr:row>
      <xdr:rowOff>90403</xdr:rowOff>
    </xdr:to>
    <xdr:sp macro="" textlink="">
      <xdr:nvSpPr>
        <xdr:cNvPr id="5" name="Rectangle 4"/>
        <xdr:cNvSpPr/>
      </xdr:nvSpPr>
      <xdr:spPr>
        <a:xfrm>
          <a:off x="6963198" y="1518894"/>
          <a:ext cx="2668241" cy="1920765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FFFF00"/>
              </a:solidFill>
            </a:rPr>
            <a:t>Top 5 Students</a:t>
          </a:r>
        </a:p>
      </xdr:txBody>
    </xdr:sp>
    <xdr:clientData/>
  </xdr:twoCellAnchor>
  <xdr:twoCellAnchor>
    <xdr:from>
      <xdr:col>16</xdr:col>
      <xdr:colOff>263664</xdr:colOff>
      <xdr:row>8</xdr:row>
      <xdr:rowOff>15387</xdr:rowOff>
    </xdr:from>
    <xdr:to>
      <xdr:col>20</xdr:col>
      <xdr:colOff>469404</xdr:colOff>
      <xdr:row>18</xdr:row>
      <xdr:rowOff>67980</xdr:rowOff>
    </xdr:to>
    <xdr:sp macro="" textlink="">
      <xdr:nvSpPr>
        <xdr:cNvPr id="8" name="Rectangle 7"/>
        <xdr:cNvSpPr/>
      </xdr:nvSpPr>
      <xdr:spPr>
        <a:xfrm>
          <a:off x="9779804" y="1503945"/>
          <a:ext cx="2651228" cy="1913291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FFFF00"/>
              </a:solidFill>
            </a:rPr>
            <a:t>Less 5 Students</a:t>
          </a:r>
        </a:p>
      </xdr:txBody>
    </xdr:sp>
    <xdr:clientData/>
  </xdr:twoCellAnchor>
  <xdr:twoCellAnchor>
    <xdr:from>
      <xdr:col>1</xdr:col>
      <xdr:colOff>157434</xdr:colOff>
      <xdr:row>8</xdr:row>
      <xdr:rowOff>45285</xdr:rowOff>
    </xdr:from>
    <xdr:to>
      <xdr:col>4</xdr:col>
      <xdr:colOff>286974</xdr:colOff>
      <xdr:row>18</xdr:row>
      <xdr:rowOff>97878</xdr:rowOff>
    </xdr:to>
    <xdr:sp macro="" textlink="">
      <xdr:nvSpPr>
        <xdr:cNvPr id="9" name="Rectangle 8"/>
        <xdr:cNvSpPr/>
      </xdr:nvSpPr>
      <xdr:spPr>
        <a:xfrm>
          <a:off x="502992" y="1533843"/>
          <a:ext cx="1963656" cy="1913291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FFFF00"/>
              </a:solidFill>
            </a:rPr>
            <a:t>Total</a:t>
          </a:r>
          <a:r>
            <a:rPr lang="en-US" sz="1600" b="1" baseline="0">
              <a:solidFill>
                <a:srgbClr val="FFFF00"/>
              </a:solidFill>
            </a:rPr>
            <a:t> </a:t>
          </a:r>
          <a:r>
            <a:rPr lang="en-US" sz="1600" b="1">
              <a:solidFill>
                <a:srgbClr val="FFFF00"/>
              </a:solidFill>
            </a:rPr>
            <a:t>Students</a:t>
          </a:r>
        </a:p>
      </xdr:txBody>
    </xdr:sp>
    <xdr:clientData/>
  </xdr:twoCellAnchor>
  <xdr:twoCellAnchor>
    <xdr:from>
      <xdr:col>4</xdr:col>
      <xdr:colOff>479714</xdr:colOff>
      <xdr:row>8</xdr:row>
      <xdr:rowOff>37811</xdr:rowOff>
    </xdr:from>
    <xdr:to>
      <xdr:col>7</xdr:col>
      <xdr:colOff>611026</xdr:colOff>
      <xdr:row>18</xdr:row>
      <xdr:rowOff>112827</xdr:rowOff>
    </xdr:to>
    <xdr:sp macro="" textlink="">
      <xdr:nvSpPr>
        <xdr:cNvPr id="12" name="Rectangle 11"/>
        <xdr:cNvSpPr/>
      </xdr:nvSpPr>
      <xdr:spPr>
        <a:xfrm>
          <a:off x="2659388" y="1526369"/>
          <a:ext cx="1965429" cy="1935714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 baseline="0">
              <a:solidFill>
                <a:srgbClr val="FFFF00"/>
              </a:solidFill>
            </a:rPr>
            <a:t>Absent </a:t>
          </a:r>
          <a:r>
            <a:rPr lang="en-US" sz="1600" b="1">
              <a:solidFill>
                <a:srgbClr val="FFFF00"/>
              </a:solidFill>
            </a:rPr>
            <a:t>Students</a:t>
          </a:r>
        </a:p>
      </xdr:txBody>
    </xdr:sp>
    <xdr:clientData/>
  </xdr:twoCellAnchor>
  <xdr:twoCellAnchor>
    <xdr:from>
      <xdr:col>8</xdr:col>
      <xdr:colOff>197774</xdr:colOff>
      <xdr:row>8</xdr:row>
      <xdr:rowOff>30336</xdr:rowOff>
    </xdr:from>
    <xdr:to>
      <xdr:col>11</xdr:col>
      <xdr:colOff>327314</xdr:colOff>
      <xdr:row>18</xdr:row>
      <xdr:rowOff>97878</xdr:rowOff>
    </xdr:to>
    <xdr:sp macro="" textlink="">
      <xdr:nvSpPr>
        <xdr:cNvPr id="13" name="Rectangle 12"/>
        <xdr:cNvSpPr/>
      </xdr:nvSpPr>
      <xdr:spPr>
        <a:xfrm>
          <a:off x="4822937" y="1518894"/>
          <a:ext cx="1963656" cy="1928240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FFFF00"/>
              </a:solidFill>
            </a:rPr>
            <a:t>Not</a:t>
          </a:r>
          <a:r>
            <a:rPr lang="en-US" sz="1600" b="1" baseline="0">
              <a:solidFill>
                <a:srgbClr val="FFFF00"/>
              </a:solidFill>
            </a:rPr>
            <a:t> Graded</a:t>
          </a:r>
          <a:endParaRPr lang="en-US" sz="1600" b="1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302214</xdr:colOff>
      <xdr:row>15</xdr:row>
      <xdr:rowOff>75163</xdr:rowOff>
    </xdr:from>
    <xdr:to>
      <xdr:col>4</xdr:col>
      <xdr:colOff>142194</xdr:colOff>
      <xdr:row>17</xdr:row>
      <xdr:rowOff>82833</xdr:rowOff>
    </xdr:to>
    <xdr:sp macro="" textlink="PROCESSING!B156">
      <xdr:nvSpPr>
        <xdr:cNvPr id="7" name="Rectangle 6"/>
        <xdr:cNvSpPr/>
      </xdr:nvSpPr>
      <xdr:spPr>
        <a:xfrm>
          <a:off x="647772" y="2866210"/>
          <a:ext cx="1674096" cy="37980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AFF40C1-ACB4-4288-B899-17A97B3E9566}" type="TxLink">
            <a:rPr lang="en-US" sz="16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12</a:t>
          </a:fld>
          <a:endParaRPr lang="en-US" sz="1600" b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14894</xdr:colOff>
      <xdr:row>15</xdr:row>
      <xdr:rowOff>82638</xdr:rowOff>
    </xdr:from>
    <xdr:to>
      <xdr:col>7</xdr:col>
      <xdr:colOff>464474</xdr:colOff>
      <xdr:row>17</xdr:row>
      <xdr:rowOff>90308</xdr:rowOff>
    </xdr:to>
    <xdr:sp macro="" textlink="PROCESSING!AQ155">
      <xdr:nvSpPr>
        <xdr:cNvPr id="14" name="Rectangle 13"/>
        <xdr:cNvSpPr/>
      </xdr:nvSpPr>
      <xdr:spPr>
        <a:xfrm>
          <a:off x="2805941" y="2873685"/>
          <a:ext cx="1672324" cy="37980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B1A4FF90-5569-4063-9593-9D3D2220B16A}" type="TxLink">
            <a:rPr lang="en-US" sz="16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1</a:t>
          </a:fld>
          <a:endParaRPr lang="en-US" sz="2400" b="1">
            <a:solidFill>
              <a:srgbClr val="002060"/>
            </a:solidFill>
          </a:endParaRPr>
        </a:p>
      </xdr:txBody>
    </xdr:sp>
    <xdr:clientData/>
  </xdr:twoCellAnchor>
  <xdr:twoCellAnchor>
    <xdr:from>
      <xdr:col>8</xdr:col>
      <xdr:colOff>365414</xdr:colOff>
      <xdr:row>15</xdr:row>
      <xdr:rowOff>67688</xdr:rowOff>
    </xdr:from>
    <xdr:to>
      <xdr:col>11</xdr:col>
      <xdr:colOff>205394</xdr:colOff>
      <xdr:row>17</xdr:row>
      <xdr:rowOff>75358</xdr:rowOff>
    </xdr:to>
    <xdr:sp macro="" textlink="PROCESSING!AP155">
      <xdr:nvSpPr>
        <xdr:cNvPr id="15" name="Rectangle 14"/>
        <xdr:cNvSpPr/>
      </xdr:nvSpPr>
      <xdr:spPr>
        <a:xfrm>
          <a:off x="4990577" y="2858735"/>
          <a:ext cx="1674096" cy="37980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5F43729-49F1-4C70-8668-5DAF0BF4A191}" type="TxLink">
            <a:rPr lang="en-US" sz="16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8</a:t>
          </a:fld>
          <a:endParaRPr lang="en-US" sz="3600" b="1">
            <a:solidFill>
              <a:srgbClr val="002060"/>
            </a:solidFill>
          </a:endParaRPr>
        </a:p>
      </xdr:txBody>
    </xdr:sp>
    <xdr:clientData/>
  </xdr:twoCellAnchor>
  <xdr:twoCellAnchor>
    <xdr:from>
      <xdr:col>1</xdr:col>
      <xdr:colOff>17929</xdr:colOff>
      <xdr:row>7</xdr:row>
      <xdr:rowOff>98611</xdr:rowOff>
    </xdr:from>
    <xdr:to>
      <xdr:col>21</xdr:col>
      <xdr:colOff>0</xdr:colOff>
      <xdr:row>7</xdr:row>
      <xdr:rowOff>98611</xdr:rowOff>
    </xdr:to>
    <xdr:cxnSp macro="">
      <xdr:nvCxnSpPr>
        <xdr:cNvPr id="6" name="Straight Connector 5"/>
        <xdr:cNvCxnSpPr/>
      </xdr:nvCxnSpPr>
      <xdr:spPr>
        <a:xfrm>
          <a:off x="358588" y="1353670"/>
          <a:ext cx="12174071" cy="0"/>
        </a:xfrm>
        <a:prstGeom prst="line">
          <a:avLst/>
        </a:prstGeom>
        <a:ln w="57150"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251012</xdr:colOff>
      <xdr:row>4</xdr:row>
      <xdr:rowOff>35859</xdr:rowOff>
    </xdr:from>
    <xdr:to>
      <xdr:col>20</xdr:col>
      <xdr:colOff>600636</xdr:colOff>
      <xdr:row>7</xdr:row>
      <xdr:rowOff>62754</xdr:rowOff>
    </xdr:to>
    <xdr:sp macro="" textlink="">
      <xdr:nvSpPr>
        <xdr:cNvPr id="10" name="Rectangle 9"/>
        <xdr:cNvSpPr/>
      </xdr:nvSpPr>
      <xdr:spPr>
        <a:xfrm>
          <a:off x="7297271" y="753035"/>
          <a:ext cx="5226424" cy="564778"/>
        </a:xfrm>
        <a:custGeom>
          <a:avLst/>
          <a:gdLst>
            <a:gd name="connsiteX0" fmla="*/ 0 w 5226424"/>
            <a:gd name="connsiteY0" fmla="*/ 0 h 564778"/>
            <a:gd name="connsiteX1" fmla="*/ 5226424 w 5226424"/>
            <a:gd name="connsiteY1" fmla="*/ 0 h 564778"/>
            <a:gd name="connsiteX2" fmla="*/ 5226424 w 5226424"/>
            <a:gd name="connsiteY2" fmla="*/ 564778 h 564778"/>
            <a:gd name="connsiteX3" fmla="*/ 0 w 5226424"/>
            <a:gd name="connsiteY3" fmla="*/ 564778 h 564778"/>
            <a:gd name="connsiteX4" fmla="*/ 0 w 5226424"/>
            <a:gd name="connsiteY4" fmla="*/ 0 h 564778"/>
            <a:gd name="connsiteX0" fmla="*/ 672353 w 5226424"/>
            <a:gd name="connsiteY0" fmla="*/ 26894 h 564778"/>
            <a:gd name="connsiteX1" fmla="*/ 5226424 w 5226424"/>
            <a:gd name="connsiteY1" fmla="*/ 0 h 564778"/>
            <a:gd name="connsiteX2" fmla="*/ 5226424 w 5226424"/>
            <a:gd name="connsiteY2" fmla="*/ 564778 h 564778"/>
            <a:gd name="connsiteX3" fmla="*/ 0 w 5226424"/>
            <a:gd name="connsiteY3" fmla="*/ 564778 h 564778"/>
            <a:gd name="connsiteX4" fmla="*/ 672353 w 5226424"/>
            <a:gd name="connsiteY4" fmla="*/ 26894 h 5647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226424" h="564778">
              <a:moveTo>
                <a:pt x="672353" y="26894"/>
              </a:moveTo>
              <a:lnTo>
                <a:pt x="5226424" y="0"/>
              </a:lnTo>
              <a:lnTo>
                <a:pt x="5226424" y="564778"/>
              </a:lnTo>
              <a:lnTo>
                <a:pt x="0" y="564778"/>
              </a:lnTo>
              <a:lnTo>
                <a:pt x="672353" y="26894"/>
              </a:lnTo>
              <a:close/>
            </a:path>
          </a:pathLst>
        </a:cu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2000" b="1"/>
            <a:t>GRADE XI RESULT ANALY</a:t>
          </a:r>
          <a:r>
            <a:rPr lang="en-US" sz="2000" b="1" baseline="0"/>
            <a:t>SIS DASHBOARD</a:t>
          </a:r>
          <a:endParaRPr lang="en-US" sz="2000" b="1"/>
        </a:p>
      </xdr:txBody>
    </xdr:sp>
    <xdr:clientData/>
  </xdr:twoCellAnchor>
  <xdr:twoCellAnchor>
    <xdr:from>
      <xdr:col>4</xdr:col>
      <xdr:colOff>448340</xdr:colOff>
      <xdr:row>19</xdr:row>
      <xdr:rowOff>53163</xdr:rowOff>
    </xdr:from>
    <xdr:to>
      <xdr:col>20</xdr:col>
      <xdr:colOff>466270</xdr:colOff>
      <xdr:row>29</xdr:row>
      <xdr:rowOff>106952</xdr:rowOff>
    </xdr:to>
    <xdr:sp macro="" textlink="">
      <xdr:nvSpPr>
        <xdr:cNvPr id="24" name="Rectangle 23"/>
        <xdr:cNvSpPr/>
      </xdr:nvSpPr>
      <xdr:spPr>
        <a:xfrm>
          <a:off x="2628014" y="3588489"/>
          <a:ext cx="9799884" cy="1914486"/>
        </a:xfrm>
        <a:prstGeom prst="rect">
          <a:avLst/>
        </a:prstGeom>
        <a:solidFill>
          <a:schemeClr val="bg2"/>
        </a:solidFill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148470</xdr:colOff>
      <xdr:row>19</xdr:row>
      <xdr:rowOff>61025</xdr:rowOff>
    </xdr:from>
    <xdr:to>
      <xdr:col>4</xdr:col>
      <xdr:colOff>278010</xdr:colOff>
      <xdr:row>29</xdr:row>
      <xdr:rowOff>106843</xdr:rowOff>
    </xdr:to>
    <xdr:sp macro="" textlink="">
      <xdr:nvSpPr>
        <xdr:cNvPr id="28" name="Rectangle 27"/>
        <xdr:cNvSpPr/>
      </xdr:nvSpPr>
      <xdr:spPr>
        <a:xfrm>
          <a:off x="494028" y="3596351"/>
          <a:ext cx="1963656" cy="1906515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rgbClr val="FFFF00"/>
              </a:solidFill>
            </a:rPr>
            <a:t>Withheld</a:t>
          </a:r>
          <a:r>
            <a:rPr lang="en-US" sz="1600" b="1" baseline="0">
              <a:solidFill>
                <a:srgbClr val="FFFF00"/>
              </a:solidFill>
            </a:rPr>
            <a:t> </a:t>
          </a:r>
          <a:r>
            <a:rPr lang="en-US" sz="1600" b="1">
              <a:solidFill>
                <a:srgbClr val="FFFF00"/>
              </a:solidFill>
            </a:rPr>
            <a:t>Students</a:t>
          </a:r>
        </a:p>
      </xdr:txBody>
    </xdr:sp>
    <xdr:clientData/>
  </xdr:twoCellAnchor>
  <xdr:twoCellAnchor>
    <xdr:from>
      <xdr:col>4</xdr:col>
      <xdr:colOff>532008</xdr:colOff>
      <xdr:row>27</xdr:row>
      <xdr:rowOff>5243</xdr:rowOff>
    </xdr:from>
    <xdr:to>
      <xdr:col>7</xdr:col>
      <xdr:colOff>325820</xdr:colOff>
      <xdr:row>29</xdr:row>
      <xdr:rowOff>32137</xdr:rowOff>
    </xdr:to>
    <xdr:sp macro="" textlink="">
      <xdr:nvSpPr>
        <xdr:cNvPr id="37" name="Rectangle: Rounded Corners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8CB39E9-B18C-4EA7-9BD3-DD4B18AAB3CE}"/>
            </a:ext>
          </a:extLst>
        </xdr:cNvPr>
        <xdr:cNvSpPr/>
      </xdr:nvSpPr>
      <xdr:spPr>
        <a:xfrm>
          <a:off x="2720890" y="4980655"/>
          <a:ext cx="1631577" cy="400423"/>
        </a:xfrm>
        <a:prstGeom prst="roundRect">
          <a:avLst>
            <a:gd name="adj" fmla="val 42656"/>
          </a:avLst>
        </a:prstGeom>
        <a:noFill/>
        <a:ln w="2857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2060"/>
              </a:solidFill>
            </a:rPr>
            <a:t>Suraj</a:t>
          </a:r>
          <a:r>
            <a:rPr lang="en-US" sz="1400" b="1" baseline="0">
              <a:solidFill>
                <a:srgbClr val="002060"/>
              </a:solidFill>
            </a:rPr>
            <a:t> Bhattarai</a:t>
          </a:r>
          <a:endParaRPr lang="en-US" sz="1400" b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466267</xdr:colOff>
      <xdr:row>19</xdr:row>
      <xdr:rowOff>71093</xdr:rowOff>
    </xdr:from>
    <xdr:to>
      <xdr:col>20</xdr:col>
      <xdr:colOff>394550</xdr:colOff>
      <xdr:row>29</xdr:row>
      <xdr:rowOff>89022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545354</xdr:colOff>
      <xdr:row>19</xdr:row>
      <xdr:rowOff>104588</xdr:rowOff>
    </xdr:from>
    <xdr:to>
      <xdr:col>7</xdr:col>
      <xdr:colOff>403412</xdr:colOff>
      <xdr:row>26</xdr:row>
      <xdr:rowOff>134470</xdr:rowOff>
    </xdr:to>
    <xdr:pic>
      <xdr:nvPicPr>
        <xdr:cNvPr id="2" name="Picture 1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734236" y="3585882"/>
          <a:ext cx="1695823" cy="1337235"/>
        </a:xfrm>
        <a:prstGeom prst="rect">
          <a:avLst/>
        </a:prstGeom>
      </xdr:spPr>
    </xdr:pic>
    <xdr:clientData/>
  </xdr:twoCellAnchor>
  <xdr:twoCellAnchor>
    <xdr:from>
      <xdr:col>1</xdr:col>
      <xdr:colOff>293249</xdr:colOff>
      <xdr:row>26</xdr:row>
      <xdr:rowOff>75163</xdr:rowOff>
    </xdr:from>
    <xdr:to>
      <xdr:col>4</xdr:col>
      <xdr:colOff>133229</xdr:colOff>
      <xdr:row>28</xdr:row>
      <xdr:rowOff>82832</xdr:rowOff>
    </xdr:to>
    <xdr:sp macro="" textlink="PROCESSING!AR155">
      <xdr:nvSpPr>
        <xdr:cNvPr id="30" name="Rectangle 29"/>
        <xdr:cNvSpPr/>
      </xdr:nvSpPr>
      <xdr:spPr>
        <a:xfrm>
          <a:off x="638807" y="4912977"/>
          <a:ext cx="1674096" cy="379808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4D5050D-956A-4618-A258-1ECE1B97B766}" type="TxLink">
            <a:rPr lang="en-US" sz="1600" b="1" i="0" u="none" strike="noStrike">
              <a:solidFill>
                <a:srgbClr val="002060"/>
              </a:solidFill>
              <a:latin typeface="Calibri"/>
              <a:cs typeface="Calibri"/>
            </a:rPr>
            <a:pPr algn="ctr"/>
            <a:t>8</a:t>
          </a:fld>
          <a:endParaRPr lang="en-US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21</xdr:col>
      <xdr:colOff>164353</xdr:colOff>
      <xdr:row>0</xdr:row>
      <xdr:rowOff>49097</xdr:rowOff>
    </xdr:from>
    <xdr:to>
      <xdr:col>26</xdr:col>
      <xdr:colOff>497690</xdr:colOff>
      <xdr:row>32</xdr:row>
      <xdr:rowOff>144507</xdr:rowOff>
    </xdr:to>
    <xdr:sp macro="" textlink="">
      <xdr:nvSpPr>
        <xdr:cNvPr id="19" name="TextBox 18"/>
        <xdr:cNvSpPr txBox="1"/>
      </xdr:nvSpPr>
      <xdr:spPr>
        <a:xfrm>
          <a:off x="12767235" y="49097"/>
          <a:ext cx="3396279" cy="600464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e-NP" sz="1400" b="1">
              <a:solidFill>
                <a:srgbClr val="FF0000"/>
              </a:solidFill>
            </a:rPr>
            <a:t> यस  सिस्टम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  मा  केहि 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 आएमा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मलाई सम्पर्क  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गर्नुहोला   </a:t>
          </a:r>
        </a:p>
        <a:p>
          <a:r>
            <a:rPr lang="en-US" sz="1400" b="1">
              <a:solidFill>
                <a:srgbClr val="FF0000"/>
              </a:solidFill>
            </a:rPr>
            <a:t>        </a:t>
          </a:r>
          <a:r>
            <a:rPr lang="ne-NP" sz="1400" b="1">
              <a:solidFill>
                <a:srgbClr val="FF0000"/>
              </a:solidFill>
            </a:rPr>
            <a:t>नाम 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सुरज भट्टराई </a:t>
          </a:r>
        </a:p>
        <a:p>
          <a:r>
            <a:rPr lang="ne-NP" sz="1400" b="1">
              <a:solidFill>
                <a:srgbClr val="FF0000"/>
              </a:solidFill>
            </a:rPr>
            <a:t>मोबाईल नम्बर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 -९८६८६६३५६०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 ९८१०९५४२३९ </a:t>
          </a:r>
          <a:endParaRPr lang="en-US" sz="1400" b="1">
            <a:solidFill>
              <a:srgbClr val="FF0000"/>
            </a:solidFill>
          </a:endParaRPr>
        </a:p>
        <a:p>
          <a:r>
            <a:rPr lang="en-US" sz="1400" b="1">
              <a:solidFill>
                <a:srgbClr val="FF0000"/>
              </a:solidFill>
            </a:rPr>
            <a:t>          </a:t>
          </a:r>
          <a:r>
            <a:rPr lang="ne-NP" sz="1400" b="1">
              <a:solidFill>
                <a:srgbClr val="FF0000"/>
              </a:solidFill>
            </a:rPr>
            <a:t>नाम 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लेखनाथ अचार्य </a:t>
          </a:r>
        </a:p>
        <a:p>
          <a:r>
            <a:rPr lang="ne-NP" sz="1400" b="1">
              <a:solidFill>
                <a:srgbClr val="FF0000"/>
              </a:solidFill>
            </a:rPr>
            <a:t>मोबाईल</a:t>
          </a:r>
          <a:r>
            <a:rPr lang="en-US" sz="1400" b="1" baseline="0">
              <a:solidFill>
                <a:srgbClr val="FF0000"/>
              </a:solidFill>
            </a:rPr>
            <a:t> </a:t>
          </a:r>
          <a:r>
            <a:rPr lang="ne-NP" sz="1400" b="1">
              <a:solidFill>
                <a:srgbClr val="FF0000"/>
              </a:solidFill>
            </a:rPr>
            <a:t>नम्बर</a:t>
          </a:r>
          <a:endParaRPr lang="en-US" sz="1400" b="1">
            <a:solidFill>
              <a:srgbClr val="FF0000"/>
            </a:solidFill>
          </a:endParaRPr>
        </a:p>
        <a:p>
          <a:r>
            <a:rPr lang="ne-NP" sz="1400" b="1">
              <a:solidFill>
                <a:srgbClr val="FF0000"/>
              </a:solidFill>
            </a:rPr>
            <a:t> ९८६८६६२९९७ </a:t>
          </a:r>
        </a:p>
      </xdr:txBody>
    </xdr:sp>
    <xdr:clientData/>
  </xdr:twoCellAnchor>
  <xdr:twoCellAnchor>
    <xdr:from>
      <xdr:col>1</xdr:col>
      <xdr:colOff>17928</xdr:colOff>
      <xdr:row>34</xdr:row>
      <xdr:rowOff>26894</xdr:rowOff>
    </xdr:from>
    <xdr:to>
      <xdr:col>21</xdr:col>
      <xdr:colOff>53787</xdr:colOff>
      <xdr:row>37</xdr:row>
      <xdr:rowOff>26894</xdr:rowOff>
    </xdr:to>
    <xdr:sp macro="" textlink="">
      <xdr:nvSpPr>
        <xdr:cNvPr id="21" name="TextBox 20">
          <a:hlinkClick xmlns:r="http://schemas.openxmlformats.org/officeDocument/2006/relationships" r:id="rId6"/>
        </xdr:cNvPr>
        <xdr:cNvSpPr txBox="1"/>
      </xdr:nvSpPr>
      <xdr:spPr>
        <a:xfrm>
          <a:off x="358587" y="6122894"/>
          <a:ext cx="12227859" cy="53788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e-NP" sz="1600" b="1">
              <a:solidFill>
                <a:srgbClr val="FF0000"/>
              </a:solidFill>
            </a:rPr>
            <a:t>एक्सेल सिकाईका साथै विद्यालय सम्बन्धित कम्प्युटर सिकाइका सयौँ भिडियोहरु प्राप्त गर्न </a:t>
          </a:r>
          <a:r>
            <a:rPr lang="en-US" sz="1800" b="1">
              <a:solidFill>
                <a:srgbClr val="FF0000"/>
              </a:solidFill>
            </a:rPr>
            <a:t>Nepali Book</a:t>
          </a:r>
          <a:r>
            <a:rPr lang="ne-NP" sz="1800" b="1">
              <a:solidFill>
                <a:srgbClr val="FF0000"/>
              </a:solidFill>
            </a:rPr>
            <a:t> </a:t>
          </a:r>
          <a:r>
            <a:rPr lang="ne-NP" sz="1600" b="1">
              <a:solidFill>
                <a:srgbClr val="FF0000"/>
              </a:solidFill>
            </a:rPr>
            <a:t>युटुब च्यानलमा जानुहोस् ।</a:t>
          </a:r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</xdr:col>
      <xdr:colOff>591775</xdr:colOff>
      <xdr:row>10</xdr:row>
      <xdr:rowOff>37423</xdr:rowOff>
    </xdr:from>
    <xdr:to>
      <xdr:col>3</xdr:col>
      <xdr:colOff>329730</xdr:colOff>
      <xdr:row>14</xdr:row>
      <xdr:rowOff>162246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37333" y="1898121"/>
          <a:ext cx="960699" cy="869102"/>
        </a:xfrm>
        <a:prstGeom prst="rect">
          <a:avLst/>
        </a:prstGeom>
      </xdr:spPr>
    </xdr:pic>
    <xdr:clientData/>
  </xdr:twoCellAnchor>
  <xdr:twoCellAnchor editAs="oneCell">
    <xdr:from>
      <xdr:col>5</xdr:col>
      <xdr:colOff>340763</xdr:colOff>
      <xdr:row>9</xdr:row>
      <xdr:rowOff>151775</xdr:rowOff>
    </xdr:from>
    <xdr:to>
      <xdr:col>7</xdr:col>
      <xdr:colOff>84814</xdr:colOff>
      <xdr:row>14</xdr:row>
      <xdr:rowOff>157590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131810" y="1826403"/>
          <a:ext cx="966795" cy="936164"/>
        </a:xfrm>
        <a:prstGeom prst="rect">
          <a:avLst/>
        </a:prstGeom>
      </xdr:spPr>
    </xdr:pic>
    <xdr:clientData/>
  </xdr:twoCellAnchor>
  <xdr:twoCellAnchor editAs="oneCell">
    <xdr:from>
      <xdr:col>9</xdr:col>
      <xdr:colOff>188362</xdr:colOff>
      <xdr:row>10</xdr:row>
      <xdr:rowOff>71093</xdr:rowOff>
    </xdr:from>
    <xdr:to>
      <xdr:col>10</xdr:col>
      <xdr:colOff>377407</xdr:colOff>
      <xdr:row>14</xdr:row>
      <xdr:rowOff>134272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424897" y="1931791"/>
          <a:ext cx="800417" cy="807458"/>
        </a:xfrm>
        <a:prstGeom prst="rect">
          <a:avLst/>
        </a:prstGeom>
      </xdr:spPr>
    </xdr:pic>
    <xdr:clientData/>
  </xdr:twoCellAnchor>
  <xdr:twoCellAnchor editAs="oneCell">
    <xdr:from>
      <xdr:col>2</xdr:col>
      <xdr:colOff>125609</xdr:colOff>
      <xdr:row>20</xdr:row>
      <xdr:rowOff>169705</xdr:rowOff>
    </xdr:from>
    <xdr:to>
      <xdr:col>3</xdr:col>
      <xdr:colOff>204917</xdr:colOff>
      <xdr:row>25</xdr:row>
      <xdr:rowOff>151135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082539" y="3891100"/>
          <a:ext cx="690680" cy="911779"/>
        </a:xfrm>
        <a:prstGeom prst="rect">
          <a:avLst/>
        </a:prstGeom>
      </xdr:spPr>
    </xdr:pic>
    <xdr:clientData/>
  </xdr:twoCellAnchor>
  <xdr:twoCellAnchor editAs="oneCell">
    <xdr:from>
      <xdr:col>12</xdr:col>
      <xdr:colOff>75118</xdr:colOff>
      <xdr:row>8</xdr:row>
      <xdr:rowOff>93216</xdr:rowOff>
    </xdr:from>
    <xdr:to>
      <xdr:col>12</xdr:col>
      <xdr:colOff>489682</xdr:colOff>
      <xdr:row>10</xdr:row>
      <xdr:rowOff>143094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145769" y="1581774"/>
          <a:ext cx="414564" cy="422018"/>
        </a:xfrm>
        <a:prstGeom prst="rect">
          <a:avLst/>
        </a:prstGeom>
      </xdr:spPr>
    </xdr:pic>
    <xdr:clientData/>
  </xdr:twoCellAnchor>
  <xdr:twoCellAnchor editAs="oneCell">
    <xdr:from>
      <xdr:col>16</xdr:col>
      <xdr:colOff>430410</xdr:colOff>
      <xdr:row>8</xdr:row>
      <xdr:rowOff>115917</xdr:rowOff>
    </xdr:from>
    <xdr:to>
      <xdr:col>17</xdr:col>
      <xdr:colOff>235374</xdr:colOff>
      <xdr:row>10</xdr:row>
      <xdr:rowOff>159699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946550" y="1604475"/>
          <a:ext cx="416336" cy="415922"/>
        </a:xfrm>
        <a:prstGeom prst="rect">
          <a:avLst/>
        </a:prstGeom>
      </xdr:spPr>
    </xdr:pic>
    <xdr:clientData/>
  </xdr:twoCellAnchor>
  <xdr:twoCellAnchor>
    <xdr:from>
      <xdr:col>21</xdr:col>
      <xdr:colOff>510987</xdr:colOff>
      <xdr:row>33</xdr:row>
      <xdr:rowOff>179293</xdr:rowOff>
    </xdr:from>
    <xdr:to>
      <xdr:col>26</xdr:col>
      <xdr:colOff>116540</xdr:colOff>
      <xdr:row>36</xdr:row>
      <xdr:rowOff>8965</xdr:rowOff>
    </xdr:to>
    <xdr:sp macro="" textlink="">
      <xdr:nvSpPr>
        <xdr:cNvPr id="40" name="Rectangle: Rounded Corners 15">
          <a:extLst>
            <a:ext uri="{FF2B5EF4-FFF2-40B4-BE49-F238E27FC236}">
              <a16:creationId xmlns:a16="http://schemas.microsoft.com/office/drawing/2014/main" xmlns="" id="{40622A7C-3F6F-42BC-9E63-68F3120472D1}"/>
            </a:ext>
          </a:extLst>
        </xdr:cNvPr>
        <xdr:cNvSpPr/>
      </xdr:nvSpPr>
      <xdr:spPr>
        <a:xfrm>
          <a:off x="13043646" y="6095999"/>
          <a:ext cx="2653553" cy="367554"/>
        </a:xfrm>
        <a:prstGeom prst="roundRect">
          <a:avLst>
            <a:gd name="adj" fmla="val 5156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>
              <a:solidFill>
                <a:schemeClr val="tx1"/>
              </a:solidFill>
            </a:rPr>
            <a:t>Created by : Shukdev</a:t>
          </a:r>
          <a:r>
            <a:rPr lang="en-US" sz="1600" b="1" baseline="0">
              <a:solidFill>
                <a:schemeClr val="tx1"/>
              </a:solidFill>
            </a:rPr>
            <a:t> Poudel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119743</xdr:colOff>
      <xdr:row>29</xdr:row>
      <xdr:rowOff>150627</xdr:rowOff>
    </xdr:from>
    <xdr:to>
      <xdr:col>13</xdr:col>
      <xdr:colOff>398720</xdr:colOff>
      <xdr:row>32</xdr:row>
      <xdr:rowOff>141766</xdr:rowOff>
    </xdr:to>
    <xdr:sp macro="[0]!printclick" textlink="">
      <xdr:nvSpPr>
        <xdr:cNvPr id="11" name="Rounded Rectangle 10"/>
        <xdr:cNvSpPr/>
      </xdr:nvSpPr>
      <xdr:spPr>
        <a:xfrm>
          <a:off x="4735286" y="5517284"/>
          <a:ext cx="3326977" cy="546311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0000"/>
              </a:solidFill>
            </a:rPr>
            <a:t>PRINT</a:t>
          </a:r>
          <a:r>
            <a:rPr lang="en-US" sz="1600" b="1" baseline="0">
              <a:solidFill>
                <a:srgbClr val="FF0000"/>
              </a:solidFill>
            </a:rPr>
            <a:t> INDIVIDUAL GRADESHEET</a:t>
          </a:r>
        </a:p>
      </xdr:txBody>
    </xdr:sp>
    <xdr:clientData/>
  </xdr:twoCellAnchor>
  <xdr:twoCellAnchor>
    <xdr:from>
      <xdr:col>17</xdr:col>
      <xdr:colOff>403412</xdr:colOff>
      <xdr:row>30</xdr:row>
      <xdr:rowOff>98611</xdr:rowOff>
    </xdr:from>
    <xdr:to>
      <xdr:col>20</xdr:col>
      <xdr:colOff>376518</xdr:colOff>
      <xdr:row>32</xdr:row>
      <xdr:rowOff>62753</xdr:rowOff>
    </xdr:to>
    <xdr:sp macro="" textlink="">
      <xdr:nvSpPr>
        <xdr:cNvPr id="3" name="TextBox 2"/>
        <xdr:cNvSpPr txBox="1"/>
      </xdr:nvSpPr>
      <xdr:spPr>
        <a:xfrm>
          <a:off x="10497671" y="5477435"/>
          <a:ext cx="1801906" cy="322730"/>
        </a:xfrm>
        <a:prstGeom prst="rect">
          <a:avLst/>
        </a:prstGeom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>
              <a:latin typeface="Adobe Gothic Std B" panose="020B0800000000000000" pitchFamily="34" charset="-128"/>
              <a:ea typeface="Adobe Gothic Std B" panose="020B0800000000000000" pitchFamily="34" charset="-128"/>
            </a:rPr>
            <a:t>GradeSheet</a:t>
          </a:r>
          <a:r>
            <a:rPr lang="en-US" sz="1200" b="1" baseline="0">
              <a:latin typeface="Adobe Gothic Std B" panose="020B0800000000000000" pitchFamily="34" charset="-128"/>
              <a:ea typeface="Adobe Gothic Std B" panose="020B0800000000000000" pitchFamily="34" charset="-128"/>
            </a:rPr>
            <a:t> Maker_0.3</a:t>
          </a:r>
          <a:endParaRPr lang="en-US" sz="1200" b="1">
            <a:latin typeface="Adobe Gothic Std B" panose="020B0800000000000000" pitchFamily="34" charset="-128"/>
            <a:ea typeface="Adobe Gothic Std B" panose="020B0800000000000000" pitchFamily="34" charset="-128"/>
          </a:endParaRPr>
        </a:p>
      </xdr:txBody>
    </xdr:sp>
    <xdr:clientData/>
  </xdr:twoCellAnchor>
  <xdr:twoCellAnchor>
    <xdr:from>
      <xdr:col>1</xdr:col>
      <xdr:colOff>239058</xdr:colOff>
      <xdr:row>1</xdr:row>
      <xdr:rowOff>37353</xdr:rowOff>
    </xdr:from>
    <xdr:to>
      <xdr:col>11</xdr:col>
      <xdr:colOff>22412</xdr:colOff>
      <xdr:row>6</xdr:row>
      <xdr:rowOff>97118</xdr:rowOff>
    </xdr:to>
    <xdr:sp macro="" textlink="">
      <xdr:nvSpPr>
        <xdr:cNvPr id="46" name="TextBox 45"/>
        <xdr:cNvSpPr txBox="1"/>
      </xdr:nvSpPr>
      <xdr:spPr>
        <a:xfrm>
          <a:off x="590176" y="224118"/>
          <a:ext cx="5909236" cy="956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26892</xdr:colOff>
      <xdr:row>0</xdr:row>
      <xdr:rowOff>179294</xdr:rowOff>
    </xdr:from>
    <xdr:to>
      <xdr:col>58</xdr:col>
      <xdr:colOff>564775</xdr:colOff>
      <xdr:row>10</xdr:row>
      <xdr:rowOff>74706</xdr:rowOff>
    </xdr:to>
    <xdr:sp macro="" textlink="">
      <xdr:nvSpPr>
        <xdr:cNvPr id="2" name="TextBox 1"/>
        <xdr:cNvSpPr txBox="1"/>
      </xdr:nvSpPr>
      <xdr:spPr>
        <a:xfrm>
          <a:off x="30312657" y="179294"/>
          <a:ext cx="5498353" cy="180041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e-NP" sz="1200" b="1"/>
            <a:t> यस  सिस्टम  मा  केहि समस्या  आएमा  सम्पर्क  गर्नुहोला   </a:t>
          </a:r>
        </a:p>
        <a:p>
          <a:r>
            <a:rPr lang="en-US" sz="1200" b="1"/>
            <a:t>   </a:t>
          </a:r>
          <a:r>
            <a:rPr lang="ne-NP" sz="1200" b="1"/>
            <a:t>नाम  सुरज भट्टराई </a:t>
          </a:r>
        </a:p>
        <a:p>
          <a:r>
            <a:rPr lang="ne-NP" sz="1200" b="1"/>
            <a:t>मोबाईल  नम्बर -९८६८६६३५६० /९८१०९५४२३९</a:t>
          </a:r>
          <a:endParaRPr lang="en-US" sz="1200" b="1"/>
        </a:p>
        <a:p>
          <a:r>
            <a:rPr lang="ne-NP" sz="1200" b="1"/>
            <a:t>नाम  लेखनाथ  अचार्य </a:t>
          </a:r>
        </a:p>
        <a:p>
          <a:r>
            <a:rPr lang="ne-NP" sz="1200" b="1"/>
            <a:t>मोबाईल  नम्बर -९८६८६६२९९७  </a:t>
          </a:r>
          <a:endParaRPr lang="en-US" sz="1200" b="1"/>
        </a:p>
        <a:p>
          <a:endParaRPr lang="en-US" sz="12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490331</xdr:colOff>
      <xdr:row>7</xdr:row>
      <xdr:rowOff>46384</xdr:rowOff>
    </xdr:from>
    <xdr:to>
      <xdr:col>7</xdr:col>
      <xdr:colOff>417444</xdr:colOff>
      <xdr:row>10</xdr:row>
      <xdr:rowOff>19880</xdr:rowOff>
    </xdr:to>
    <xdr:sp macro="" textlink="">
      <xdr:nvSpPr>
        <xdr:cNvPr id="5" name="TextBox 4"/>
        <xdr:cNvSpPr txBox="1"/>
      </xdr:nvSpPr>
      <xdr:spPr>
        <a:xfrm>
          <a:off x="2146853" y="1358349"/>
          <a:ext cx="2597426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u="sng">
              <a:solidFill>
                <a:schemeClr val="dk1"/>
              </a:solidFill>
              <a:effectLst/>
              <a:latin typeface="Elephant" panose="02020904090505020303" pitchFamily="18" charset="0"/>
              <a:ea typeface="+mn-ea"/>
              <a:cs typeface="+mn-cs"/>
            </a:rPr>
            <a:t>GRADE-SHEET</a:t>
          </a:r>
          <a:endParaRPr lang="en-US" sz="2000" b="0" u="sng">
            <a:effectLst/>
            <a:latin typeface="Elephant" panose="02020904090505020303" pitchFamily="18" charset="0"/>
          </a:endParaRPr>
        </a:p>
      </xdr:txBody>
    </xdr:sp>
    <xdr:clientData/>
  </xdr:twoCellAnchor>
  <xdr:twoCellAnchor editAs="oneCell">
    <xdr:from>
      <xdr:col>2</xdr:col>
      <xdr:colOff>90715</xdr:colOff>
      <xdr:row>1</xdr:row>
      <xdr:rowOff>0</xdr:rowOff>
    </xdr:from>
    <xdr:to>
      <xdr:col>3</xdr:col>
      <xdr:colOff>387046</xdr:colOff>
      <xdr:row>7</xdr:row>
      <xdr:rowOff>145143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048" y="54429"/>
          <a:ext cx="1100665" cy="1330476"/>
        </a:xfrm>
        <a:prstGeom prst="rect">
          <a:avLst/>
        </a:prstGeom>
      </xdr:spPr>
    </xdr:pic>
    <xdr:clientData/>
  </xdr:twoCellAnchor>
  <xdr:twoCellAnchor>
    <xdr:from>
      <xdr:col>3</xdr:col>
      <xdr:colOff>231913</xdr:colOff>
      <xdr:row>2</xdr:row>
      <xdr:rowOff>13252</xdr:rowOff>
    </xdr:from>
    <xdr:to>
      <xdr:col>10</xdr:col>
      <xdr:colOff>18143</xdr:colOff>
      <xdr:row>7</xdr:row>
      <xdr:rowOff>46383</xdr:rowOff>
    </xdr:to>
    <xdr:sp macro="" textlink="">
      <xdr:nvSpPr>
        <xdr:cNvPr id="30" name="TextBox 29"/>
        <xdr:cNvSpPr txBox="1"/>
      </xdr:nvSpPr>
      <xdr:spPr>
        <a:xfrm>
          <a:off x="1090675" y="200728"/>
          <a:ext cx="5942706" cy="10854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rgbClr val="002060"/>
              </a:solidFill>
              <a:latin typeface="Arial Black" panose="020B0A04020102020204" pitchFamily="34" charset="0"/>
            </a:rPr>
            <a:t>Sunlight</a:t>
          </a:r>
          <a:r>
            <a:rPr lang="en-US" sz="1800" baseline="0">
              <a:solidFill>
                <a:srgbClr val="002060"/>
              </a:solidFill>
              <a:latin typeface="Arial Black" panose="020B0A04020102020204" pitchFamily="34" charset="0"/>
            </a:rPr>
            <a:t> Modern</a:t>
          </a:r>
          <a:r>
            <a:rPr lang="en-US" sz="1800">
              <a:solidFill>
                <a:srgbClr val="002060"/>
              </a:solidFill>
              <a:latin typeface="Arial Black" panose="020B0A04020102020204" pitchFamily="34" charset="0"/>
            </a:rPr>
            <a:t> Secondary English School</a:t>
          </a:r>
        </a:p>
        <a:p>
          <a:pPr algn="ctr"/>
          <a:r>
            <a:rPr lang="en-US" sz="1600">
              <a:solidFill>
                <a:srgbClr val="002060"/>
              </a:solidFill>
              <a:latin typeface="Arial Black" panose="020B0A04020102020204" pitchFamily="34" charset="0"/>
            </a:rPr>
            <a:t>Lamahi-5,</a:t>
          </a:r>
          <a:r>
            <a:rPr lang="en-US" sz="1600" baseline="0">
              <a:solidFill>
                <a:srgbClr val="002060"/>
              </a:solidFill>
              <a:latin typeface="Arial Black" panose="020B0A04020102020204" pitchFamily="34" charset="0"/>
            </a:rPr>
            <a:t> Dang</a:t>
          </a:r>
          <a:endParaRPr lang="en-US" sz="1600">
            <a:solidFill>
              <a:srgbClr val="002060"/>
            </a:solidFill>
            <a:latin typeface="Arial Black" panose="020B0A04020102020204" pitchFamily="34" charset="0"/>
          </a:endParaRPr>
        </a:p>
        <a:p>
          <a:pPr algn="ctr"/>
          <a:r>
            <a:rPr lang="en-US" sz="1400">
              <a:solidFill>
                <a:srgbClr val="002060"/>
              </a:solidFill>
              <a:latin typeface="Arial Black" panose="020B0A04020102020204" pitchFamily="34" charset="0"/>
            </a:rPr>
            <a:t>Estd. 2053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13253</xdr:colOff>
      <xdr:row>6</xdr:row>
      <xdr:rowOff>145774</xdr:rowOff>
    </xdr:from>
    <xdr:to>
      <xdr:col>7</xdr:col>
      <xdr:colOff>13252</xdr:colOff>
      <xdr:row>12</xdr:row>
      <xdr:rowOff>139147</xdr:rowOff>
    </xdr:to>
    <xdr:sp macro="" textlink="">
      <xdr:nvSpPr>
        <xdr:cNvPr id="2" name="TextBox 1"/>
        <xdr:cNvSpPr txBox="1"/>
      </xdr:nvSpPr>
      <xdr:spPr>
        <a:xfrm>
          <a:off x="119270" y="1152939"/>
          <a:ext cx="6394173" cy="11065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e-NP" sz="1100" b="1"/>
            <a:t>विषय</a:t>
          </a:r>
          <a:r>
            <a:rPr lang="en-US" sz="1100" b="1"/>
            <a:t> : </a:t>
          </a:r>
          <a:r>
            <a:rPr lang="ne-NP" sz="1100" b="1"/>
            <a:t>परीक्षाफल प्रकाशित गरिएको ।</a:t>
          </a:r>
        </a:p>
        <a:p>
          <a:pPr algn="l"/>
          <a:r>
            <a:rPr lang="en-US" sz="1100"/>
            <a:t>                </a:t>
          </a:r>
          <a:r>
            <a:rPr lang="ne-NP" sz="1100"/>
            <a:t>प्रस्तुत विषयमा यस विद्यालयबाट शैक्षिक सत्र </a:t>
          </a:r>
          <a:r>
            <a:rPr lang="en-US" sz="1100"/>
            <a:t>............</a:t>
          </a:r>
          <a:r>
            <a:rPr lang="ne-NP" sz="1100"/>
            <a:t> को कक्षा ११ को वार्षिक परीक्षामा सम्मिलित विद्यार्थीहरुको निम्नानुसारको नतिजा प्रकाशन गरिएको ब्यहोरा सम्बन्धित सबैमा जानकारीका लागि अनुरोध गरिन्छ ।</a:t>
          </a:r>
          <a:endParaRPr lang="en-US" sz="1100"/>
        </a:p>
      </xdr:txBody>
    </xdr:sp>
    <xdr:clientData/>
  </xdr:twoCellAnchor>
  <xdr:twoCellAnchor>
    <xdr:from>
      <xdr:col>7</xdr:col>
      <xdr:colOff>139148</xdr:colOff>
      <xdr:row>1</xdr:row>
      <xdr:rowOff>6625</xdr:rowOff>
    </xdr:from>
    <xdr:to>
      <xdr:col>15</xdr:col>
      <xdr:colOff>510873</xdr:colOff>
      <xdr:row>51</xdr:row>
      <xdr:rowOff>112643</xdr:rowOff>
    </xdr:to>
    <xdr:sp macro="" textlink="">
      <xdr:nvSpPr>
        <xdr:cNvPr id="4" name="TextBox 3"/>
        <xdr:cNvSpPr txBox="1"/>
      </xdr:nvSpPr>
      <xdr:spPr>
        <a:xfrm>
          <a:off x="6539948" y="86138"/>
          <a:ext cx="5566577" cy="9992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e-N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e-NP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तपाईँको विद्यालय अनुकूल हुने गरी यस ग्रेडसिट मेकरमा आवश्यक हेरफेर गर्नुपर्ने भएमा सशुल्क सेवा लिनका लागि सम्पर्क गर्न सक्नुहुने छ ।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Email : suraj.bh46@gmail.com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e-NP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नाम  सुरज भट्टराई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e-NP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मोबाईल  नम्बर -९८६८६६३५६० /९८१०९५४२३९ </a:t>
          </a:r>
          <a:endParaRPr lang="en-US" sz="1100" b="1" baseline="0">
            <a:solidFill>
              <a:srgbClr val="00206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e-NP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नाम  लेखनाथ  अचार्य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e-NP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मोबाईल  नम्बर -९८६८६६२९९७ </a:t>
          </a:r>
          <a:r>
            <a:rPr lang="en-US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100" b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</a:b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yDateConverter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Sheet1"/>
      <sheetName val="Sheet2"/>
      <sheetName val="Sheet3"/>
    </sheetNames>
    <definedNames>
      <definedName name="DateBStoAD"/>
    </defined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2" name="Table2" displayName="Table2" ref="B14:G164" totalsRowShown="0" headerRowDxfId="7" dataDxfId="6">
  <autoFilter ref="B14:G16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SYMBOL NO." dataDxfId="5">
      <calculatedColumnFormula>PROCESSING!B5</calculatedColumnFormula>
    </tableColumn>
    <tableColumn id="2" name="Name Of Student" dataDxfId="4">
      <calculatedColumnFormula>PROCESSING!C5</calculatedColumnFormula>
    </tableColumn>
    <tableColumn id="3" name="DOB" dataDxfId="3">
      <calculatedColumnFormula>PROCESSING!D5</calculatedColumnFormula>
    </tableColumn>
    <tableColumn id="4" name="Registration No." dataDxfId="2">
      <calculatedColumnFormula>PROCESSING!E5</calculatedColumnFormula>
    </tableColumn>
    <tableColumn id="5" name="GPA" dataDxfId="1">
      <calculatedColumnFormula>PROCESSING!AJ5</calculatedColumnFormula>
    </tableColumn>
    <tableColumn id="6" name="Rank" dataDxfId="0">
      <calculatedColumnFormula>IFERROR(RANK(Table2[[#This Row],[GPA]],[GPA],0)+COUNTIF(Table2[[#This Row],[GPA]],Table2[[#This Row],[GPA]])-1,"*")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9" tint="-0.499984740745262"/>
  </sheetPr>
  <dimension ref="B2:U10"/>
  <sheetViews>
    <sheetView showGridLines="0" showRowColHeaders="0" tabSelected="1" zoomScale="85" zoomScaleNormal="85" workbookViewId="0">
      <pane xSplit="21" ySplit="33" topLeftCell="V258" activePane="bottomRight" state="frozen"/>
      <selection pane="topRight" activeCell="V1" sqref="V1"/>
      <selection pane="bottomLeft" activeCell="A34" sqref="A34"/>
      <selection pane="bottomRight" activeCell="A9" sqref="A9"/>
    </sheetView>
  </sheetViews>
  <sheetFormatPr defaultRowHeight="14.5"/>
  <cols>
    <col min="1" max="1" width="5" customWidth="1"/>
  </cols>
  <sheetData>
    <row r="2" spans="2:21" ht="14.4" customHeight="1">
      <c r="B2" s="221"/>
      <c r="C2" s="221"/>
      <c r="D2" s="222"/>
      <c r="E2" s="23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</row>
    <row r="3" spans="2:21" ht="14.4" customHeight="1">
      <c r="B3" s="221"/>
      <c r="C3" s="221"/>
      <c r="D3" s="222"/>
      <c r="E3" s="23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2:21" ht="14.4" customHeight="1">
      <c r="B4" s="221"/>
      <c r="C4" s="221"/>
      <c r="D4" s="222"/>
      <c r="E4" s="23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2:21" ht="14.4" customHeight="1">
      <c r="B5" s="221"/>
      <c r="C5" s="221"/>
      <c r="D5" s="222"/>
      <c r="E5" s="25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2:21" ht="14.4" customHeight="1">
      <c r="B6" s="221"/>
      <c r="C6" s="221"/>
      <c r="D6" s="222"/>
      <c r="E6" s="25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2:21" ht="14.4" customHeight="1">
      <c r="B7" s="221"/>
      <c r="C7" s="221"/>
      <c r="D7" s="222"/>
      <c r="E7" s="27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2:21" ht="14.4" customHeight="1">
      <c r="B8" s="221"/>
      <c r="C8" s="221"/>
      <c r="D8" s="222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</row>
    <row r="9" spans="2:21" ht="14.4" customHeight="1">
      <c r="B9" s="221"/>
      <c r="C9" s="221"/>
      <c r="D9" s="222"/>
      <c r="E9" s="21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2:21" ht="14.4" customHeight="1">
      <c r="B10" s="221"/>
      <c r="C10" s="221"/>
      <c r="D10" s="222"/>
      <c r="E10" s="21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</row>
  </sheetData>
  <sheetProtection password="C44B" sheet="1" objects="1" scenarios="1" formatCells="0" formatColumns="0" formatRows="0" insertColumns="0" insertRows="0" insertHyperlinks="0" deleteColumns="0" deleteRows="0"/>
  <mergeCells count="1">
    <mergeCell ref="B2:D10"/>
  </mergeCells>
  <pageMargins left="0.25" right="0.25" top="0.75" bottom="0.75" header="0.3" footer="0.3"/>
  <pageSetup paperSize="9" scale="75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B1:BD155"/>
  <sheetViews>
    <sheetView zoomScale="85" zoomScaleNormal="85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E5" sqref="E5"/>
    </sheetView>
  </sheetViews>
  <sheetFormatPr defaultColWidth="8.90625" defaultRowHeight="14.5"/>
  <cols>
    <col min="1" max="1" width="1.453125" style="2" customWidth="1"/>
    <col min="2" max="2" width="6.36328125" style="2" customWidth="1"/>
    <col min="3" max="3" width="27.90625" style="2" customWidth="1"/>
    <col min="4" max="4" width="17.6328125" style="2" customWidth="1"/>
    <col min="5" max="5" width="19.36328125" style="2" customWidth="1"/>
    <col min="6" max="6" width="16.453125" style="2" customWidth="1"/>
    <col min="7" max="7" width="6.90625" style="2" customWidth="1"/>
    <col min="8" max="8" width="5.36328125" style="2" customWidth="1"/>
    <col min="9" max="9" width="5.6328125" style="2" hidden="1" customWidth="1"/>
    <col min="10" max="10" width="5" style="2" customWidth="1"/>
    <col min="11" max="11" width="6" style="2" hidden="1" customWidth="1"/>
    <col min="12" max="12" width="5.81640625" style="2" customWidth="1"/>
    <col min="13" max="13" width="6.90625" style="2" bestFit="1" customWidth="1"/>
    <col min="14" max="14" width="7.08984375" style="2" customWidth="1"/>
    <col min="15" max="15" width="5.54296875" style="2" customWidth="1"/>
    <col min="16" max="16" width="5.36328125" style="2" hidden="1" customWidth="1"/>
    <col min="17" max="17" width="5.54296875" style="2" customWidth="1"/>
    <col min="18" max="18" width="6.36328125" style="2" hidden="1" customWidth="1"/>
    <col min="19" max="19" width="6.08984375" style="2" customWidth="1"/>
    <col min="20" max="20" width="7.453125" style="2" customWidth="1"/>
    <col min="21" max="21" width="6.36328125" style="2" customWidth="1"/>
    <col min="22" max="22" width="5.453125" style="2" customWidth="1"/>
    <col min="23" max="23" width="5.6328125" style="2" hidden="1" customWidth="1"/>
    <col min="24" max="24" width="5.6328125" style="2" customWidth="1"/>
    <col min="25" max="25" width="5.453125" style="2" hidden="1" customWidth="1"/>
    <col min="26" max="26" width="6.36328125" style="2" customWidth="1"/>
    <col min="27" max="27" width="7.36328125" style="2" customWidth="1"/>
    <col min="28" max="28" width="6" style="2" customWidth="1"/>
    <col min="29" max="29" width="5.6328125" style="2" customWidth="1"/>
    <col min="30" max="30" width="5.6328125" style="2" hidden="1" customWidth="1"/>
    <col min="31" max="31" width="6" style="2" customWidth="1"/>
    <col min="32" max="32" width="5.6328125" style="2" hidden="1" customWidth="1"/>
    <col min="33" max="33" width="6.08984375" style="2" customWidth="1"/>
    <col min="34" max="34" width="8" style="2" customWidth="1"/>
    <col min="35" max="35" width="6.90625" style="2" customWidth="1"/>
    <col min="36" max="36" width="5.90625" style="2" customWidth="1"/>
    <col min="37" max="37" width="5.54296875" style="2" hidden="1" customWidth="1"/>
    <col min="38" max="38" width="5.6328125" style="2" customWidth="1"/>
    <col min="39" max="39" width="5.6328125" style="2" hidden="1" customWidth="1"/>
    <col min="40" max="40" width="5.54296875" style="2" customWidth="1"/>
    <col min="41" max="41" width="7.54296875" style="2" customWidth="1"/>
    <col min="42" max="42" width="6.453125" style="2" customWidth="1"/>
    <col min="43" max="43" width="5.6328125" style="2" customWidth="1"/>
    <col min="44" max="44" width="5.453125" style="2" hidden="1" customWidth="1"/>
    <col min="45" max="45" width="5.54296875" style="2" customWidth="1"/>
    <col min="46" max="46" width="4.90625" style="2" hidden="1" customWidth="1"/>
    <col min="47" max="47" width="6.08984375" style="2" customWidth="1"/>
    <col min="48" max="48" width="8.08984375" style="2" customWidth="1"/>
    <col min="49" max="49" width="7.54296875" style="2" hidden="1" customWidth="1"/>
    <col min="50" max="50" width="6.08984375" style="2" customWidth="1"/>
    <col min="51" max="51" width="5.54296875" style="2" customWidth="1"/>
    <col min="52" max="52" width="5.36328125" style="2" hidden="1" customWidth="1"/>
    <col min="53" max="53" width="5.6328125" style="2" customWidth="1"/>
    <col min="54" max="54" width="5.54296875" style="2" hidden="1" customWidth="1"/>
    <col min="55" max="55" width="6.36328125" style="2" customWidth="1"/>
    <col min="56" max="56" width="7.36328125" style="2" customWidth="1"/>
    <col min="57" max="16384" width="8.90625" style="2"/>
  </cols>
  <sheetData>
    <row r="1" spans="2:56" ht="8" customHeight="1" thickBot="1"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56" ht="14.4" customHeight="1" thickTop="1">
      <c r="B2" s="232" t="s">
        <v>0</v>
      </c>
      <c r="C2" s="224" t="s">
        <v>1</v>
      </c>
      <c r="D2" s="224" t="s">
        <v>2</v>
      </c>
      <c r="E2" s="237" t="s">
        <v>24</v>
      </c>
      <c r="F2" s="238" t="s">
        <v>14</v>
      </c>
      <c r="G2" s="223" t="s">
        <v>44</v>
      </c>
      <c r="H2" s="224"/>
      <c r="I2" s="224"/>
      <c r="J2" s="224"/>
      <c r="K2" s="224"/>
      <c r="L2" s="224"/>
      <c r="M2" s="225"/>
      <c r="N2" s="223" t="s">
        <v>45</v>
      </c>
      <c r="O2" s="224"/>
      <c r="P2" s="224"/>
      <c r="Q2" s="224"/>
      <c r="R2" s="224"/>
      <c r="S2" s="224"/>
      <c r="T2" s="225"/>
      <c r="U2" s="223" t="s">
        <v>46</v>
      </c>
      <c r="V2" s="224"/>
      <c r="W2" s="224"/>
      <c r="X2" s="224"/>
      <c r="Y2" s="224"/>
      <c r="Z2" s="224"/>
      <c r="AA2" s="225"/>
      <c r="AB2" s="223" t="s">
        <v>259</v>
      </c>
      <c r="AC2" s="224"/>
      <c r="AD2" s="224"/>
      <c r="AE2" s="224"/>
      <c r="AF2" s="224"/>
      <c r="AG2" s="224"/>
      <c r="AH2" s="225"/>
      <c r="AI2" s="223" t="s">
        <v>260</v>
      </c>
      <c r="AJ2" s="224"/>
      <c r="AK2" s="224"/>
      <c r="AL2" s="224"/>
      <c r="AM2" s="224"/>
      <c r="AN2" s="224"/>
      <c r="AO2" s="225"/>
      <c r="AP2" s="223" t="s">
        <v>261</v>
      </c>
      <c r="AQ2" s="224"/>
      <c r="AR2" s="224"/>
      <c r="AS2" s="224"/>
      <c r="AT2" s="224"/>
      <c r="AU2" s="224"/>
      <c r="AV2" s="225"/>
      <c r="AW2" s="247" t="s">
        <v>7</v>
      </c>
      <c r="AX2" s="241" t="s">
        <v>42</v>
      </c>
      <c r="AY2" s="224"/>
      <c r="AZ2" s="224"/>
      <c r="BA2" s="224"/>
      <c r="BB2" s="224"/>
      <c r="BC2" s="224"/>
      <c r="BD2" s="242"/>
    </row>
    <row r="3" spans="2:56">
      <c r="B3" s="233"/>
      <c r="C3" s="235"/>
      <c r="D3" s="235"/>
      <c r="E3" s="228"/>
      <c r="F3" s="239"/>
      <c r="G3" s="226" t="s">
        <v>3</v>
      </c>
      <c r="H3" s="199" t="s">
        <v>4</v>
      </c>
      <c r="I3" s="228" t="s">
        <v>50</v>
      </c>
      <c r="J3" s="199" t="s">
        <v>43</v>
      </c>
      <c r="K3" s="228" t="s">
        <v>51</v>
      </c>
      <c r="L3" s="199" t="s">
        <v>5</v>
      </c>
      <c r="M3" s="230" t="s">
        <v>6</v>
      </c>
      <c r="N3" s="226" t="s">
        <v>3</v>
      </c>
      <c r="O3" s="199" t="s">
        <v>4</v>
      </c>
      <c r="P3" s="228" t="s">
        <v>25</v>
      </c>
      <c r="Q3" s="199" t="s">
        <v>43</v>
      </c>
      <c r="R3" s="235" t="s">
        <v>25</v>
      </c>
      <c r="S3" s="199" t="s">
        <v>5</v>
      </c>
      <c r="T3" s="230" t="s">
        <v>6</v>
      </c>
      <c r="U3" s="226" t="s">
        <v>3</v>
      </c>
      <c r="V3" s="199" t="s">
        <v>4</v>
      </c>
      <c r="W3" s="228" t="s">
        <v>25</v>
      </c>
      <c r="X3" s="199" t="s">
        <v>43</v>
      </c>
      <c r="Y3" s="235" t="s">
        <v>25</v>
      </c>
      <c r="Z3" s="199" t="s">
        <v>5</v>
      </c>
      <c r="AA3" s="230" t="s">
        <v>6</v>
      </c>
      <c r="AB3" s="226" t="s">
        <v>3</v>
      </c>
      <c r="AC3" s="199" t="s">
        <v>4</v>
      </c>
      <c r="AD3" s="228" t="s">
        <v>25</v>
      </c>
      <c r="AE3" s="199" t="s">
        <v>43</v>
      </c>
      <c r="AF3" s="235" t="s">
        <v>25</v>
      </c>
      <c r="AG3" s="199" t="s">
        <v>5</v>
      </c>
      <c r="AH3" s="230" t="s">
        <v>6</v>
      </c>
      <c r="AI3" s="226" t="s">
        <v>3</v>
      </c>
      <c r="AJ3" s="199" t="s">
        <v>4</v>
      </c>
      <c r="AK3" s="228" t="s">
        <v>25</v>
      </c>
      <c r="AL3" s="199" t="s">
        <v>43</v>
      </c>
      <c r="AM3" s="235" t="s">
        <v>25</v>
      </c>
      <c r="AN3" s="199" t="s">
        <v>5</v>
      </c>
      <c r="AO3" s="230" t="s">
        <v>6</v>
      </c>
      <c r="AP3" s="226" t="s">
        <v>3</v>
      </c>
      <c r="AQ3" s="199" t="s">
        <v>4</v>
      </c>
      <c r="AR3" s="228" t="s">
        <v>25</v>
      </c>
      <c r="AS3" s="199" t="s">
        <v>43</v>
      </c>
      <c r="AT3" s="235" t="s">
        <v>25</v>
      </c>
      <c r="AU3" s="199" t="s">
        <v>5</v>
      </c>
      <c r="AV3" s="230" t="s">
        <v>6</v>
      </c>
      <c r="AW3" s="248"/>
      <c r="AX3" s="243" t="s">
        <v>3</v>
      </c>
      <c r="AY3" s="199" t="s">
        <v>4</v>
      </c>
      <c r="AZ3" s="228" t="s">
        <v>25</v>
      </c>
      <c r="BA3" s="199" t="s">
        <v>43</v>
      </c>
      <c r="BB3" s="235" t="s">
        <v>25</v>
      </c>
      <c r="BC3" s="199" t="s">
        <v>5</v>
      </c>
      <c r="BD3" s="245" t="s">
        <v>6</v>
      </c>
    </row>
    <row r="4" spans="2:56">
      <c r="B4" s="234"/>
      <c r="C4" s="236"/>
      <c r="D4" s="236"/>
      <c r="E4" s="229"/>
      <c r="F4" s="240"/>
      <c r="G4" s="227"/>
      <c r="H4" s="200">
        <v>75</v>
      </c>
      <c r="I4" s="229"/>
      <c r="J4" s="200">
        <v>25</v>
      </c>
      <c r="K4" s="229"/>
      <c r="L4" s="200" t="s">
        <v>19</v>
      </c>
      <c r="M4" s="231"/>
      <c r="N4" s="227"/>
      <c r="O4" s="200">
        <v>75</v>
      </c>
      <c r="P4" s="229"/>
      <c r="Q4" s="200">
        <v>25</v>
      </c>
      <c r="R4" s="236"/>
      <c r="S4" s="200" t="s">
        <v>19</v>
      </c>
      <c r="T4" s="231"/>
      <c r="U4" s="227"/>
      <c r="V4" s="200">
        <v>75</v>
      </c>
      <c r="W4" s="229"/>
      <c r="X4" s="200">
        <v>25</v>
      </c>
      <c r="Y4" s="236"/>
      <c r="Z4" s="200" t="s">
        <v>19</v>
      </c>
      <c r="AA4" s="231"/>
      <c r="AB4" s="227"/>
      <c r="AC4" s="200">
        <v>75</v>
      </c>
      <c r="AD4" s="229"/>
      <c r="AE4" s="200">
        <v>25</v>
      </c>
      <c r="AF4" s="236"/>
      <c r="AG4" s="200" t="s">
        <v>19</v>
      </c>
      <c r="AH4" s="231"/>
      <c r="AI4" s="227"/>
      <c r="AJ4" s="200">
        <v>75</v>
      </c>
      <c r="AK4" s="229"/>
      <c r="AL4" s="200">
        <v>25</v>
      </c>
      <c r="AM4" s="236"/>
      <c r="AN4" s="200" t="s">
        <v>19</v>
      </c>
      <c r="AO4" s="231"/>
      <c r="AP4" s="227"/>
      <c r="AQ4" s="200">
        <v>50</v>
      </c>
      <c r="AR4" s="229"/>
      <c r="AS4" s="200">
        <v>50</v>
      </c>
      <c r="AT4" s="236"/>
      <c r="AU4" s="200" t="s">
        <v>19</v>
      </c>
      <c r="AV4" s="231"/>
      <c r="AW4" s="248"/>
      <c r="AX4" s="244"/>
      <c r="AY4" s="200">
        <v>75</v>
      </c>
      <c r="AZ4" s="229"/>
      <c r="BA4" s="200">
        <v>25</v>
      </c>
      <c r="BB4" s="236"/>
      <c r="BC4" s="200" t="s">
        <v>19</v>
      </c>
      <c r="BD4" s="246"/>
    </row>
    <row r="5" spans="2:56" ht="15.5">
      <c r="B5" s="191">
        <v>1</v>
      </c>
      <c r="C5" s="146" t="s">
        <v>247</v>
      </c>
      <c r="D5" s="147">
        <v>58766</v>
      </c>
      <c r="E5" s="127">
        <v>781130010001</v>
      </c>
      <c r="F5" s="127">
        <v>11300001</v>
      </c>
      <c r="G5" s="134" t="s">
        <v>268</v>
      </c>
      <c r="H5" s="117">
        <v>50</v>
      </c>
      <c r="I5" s="135" t="str">
        <f>IF(H5/H$4&gt;=0.9,"4.0",IF(H5/H$4&gt;=0.8,"3.6",IF(H5/H$4&gt;=0.7,"3.2",IF(H5/H$4&gt;=0.6,"2.8",IF(H5/H$4&gt;=0.5,"2.4",IF(H5/H$4&gt;=0.4,"2.0",IF(H5/H$4&gt;=0.35,"1.6",IF(H5/H$4&gt;0,"-","ABS"))))))))</f>
        <v>2.8</v>
      </c>
      <c r="J5" s="117">
        <v>22</v>
      </c>
      <c r="K5" s="135" t="str">
        <f>IF(J5/J$4&gt;=0.9,"4.0",IF(J5/J$4&gt;=0.8,"3.6",IF(J5/J$4&gt;=0.7,"3.2",IF(J5/J$4&gt;=0.6,"2.8",IF(J5/J$4&gt;=0.5,"2.4",IF(J5/J$4&gt;=0.4,"2.0",IF(J5/J$4&gt;=0.35,"1.6",IF(J5/J$4&gt;0,"-","ABS"))))))))</f>
        <v>3.6</v>
      </c>
      <c r="L5" s="192">
        <f>IFERROR(IF(I5="ABS","ABS",IF(I5="NG","NG",(I5*2.25+K5*0.75)/3)),"NG")</f>
        <v>3</v>
      </c>
      <c r="M5" s="154" t="str">
        <f>IF(L5="ABS","ABS",IF(L5="NG","NG",IF(L5&gt;3.6,"A+",IF(L5&gt;3.2,"A",IF(L5&gt;2.8,"B+",IF(L5&gt;2.4,"B",IF(L5&gt;2,"C+",IF(L5&gt;1.6,"C",IF(L5&gt;0,"D","")))))))))</f>
        <v>B+</v>
      </c>
      <c r="N5" s="134" t="s">
        <v>30</v>
      </c>
      <c r="O5" s="117">
        <v>39</v>
      </c>
      <c r="P5" s="135" t="str">
        <f>IF(O5/O$4&gt;=0.9,"4.0",IF(O5/O$4&gt;=0.8,"3.6",IF(O5/O$4&gt;=0.7,"3.2",IF(O5/O$4&gt;=0.6,"2.8",IF(O5/O$4&gt;=0.5,"2.4",IF(O5/O$4&gt;=0.4,"2.0",IF(O5/O$4&gt;=0.35,"1.6",IF(O5/O$4&gt;0,"-","ABS"))))))))</f>
        <v>2.4</v>
      </c>
      <c r="Q5" s="117">
        <v>22</v>
      </c>
      <c r="R5" s="135" t="str">
        <f>IF(Q5/Q$4&gt;=0.9,"4.0",IF(Q5/Q$4&gt;=0.8,"3.6",IF(Q5/Q$4&gt;=0.7,"3.2",IF(Q5/Q$4&gt;=0.6,"2.8",IF(Q5/Q$4&gt;=0.5,"2.4",IF(Q5/Q$4&gt;=0.4,"2.0",IF(Q5/Q$4&gt;=0.35,"1.6",IF(Q5/Q$4&gt;0,"-","ABS"))))))))</f>
        <v>3.6</v>
      </c>
      <c r="S5" s="193">
        <f>IFERROR(IF(P5="ABS","ABS",IF(P5="NG","NG",(P5*3+R5*1)/4)),"NG")</f>
        <v>2.6999999999999997</v>
      </c>
      <c r="T5" s="154" t="str">
        <f>IF(S5="ABS","ABS",IF(S5="NG","NG",IF(S5&gt;3.6,"A+",IF(S5&gt;3.2,"A",IF(S5&gt;2.8,"B+",IF(S5&gt;2.4,"B",IF(S5&gt;2,"C+",IF(S5&gt;1.6,"C",IF(S5&gt;0,"D","")))))))))</f>
        <v>B</v>
      </c>
      <c r="U5" s="137" t="s">
        <v>32</v>
      </c>
      <c r="V5" s="117">
        <v>64</v>
      </c>
      <c r="W5" s="135" t="str">
        <f>IF(V5/V$4&gt;=0.9,"4.0",IF(V5/V$4&gt;=0.8,"3.6",IF(V5/V$4&gt;=0.7,"3.2",IF(V5/V$4&gt;=0.6,"2.8",IF(V5/V$4&gt;=0.5,"2.4",IF(V5/V$4&gt;=0.4,"2.0",IF(V5/V$4&gt;=0.35,"1.6",IF(V5/V$4&gt;0,"-","ABS"))))))))</f>
        <v>3.6</v>
      </c>
      <c r="X5" s="117">
        <v>22</v>
      </c>
      <c r="Y5" s="135" t="str">
        <f>IF(X5/X$4&gt;=0.9,"4.0",IF(X5/X$4&gt;=0.8,"3.6",IF(X5/X$4&gt;=0.7,"3.2",IF(X5/X$4&gt;=0.6,"2.8",IF(X5/X$4&gt;=0.5,"2.4",IF(X5/X$4&gt;=0.4,"2.0",IF(X5/X$4&gt;=0.35,"1.6",IF(X5/X$4&gt;0,"-","ABS"))))))))</f>
        <v>3.6</v>
      </c>
      <c r="Z5" s="193">
        <f>IFERROR(IF(W5="ABS","ABS",IF(W5="NG","NG",(W5*3.75+Y5*1.25)/5)),"NG")</f>
        <v>3.6</v>
      </c>
      <c r="AA5" s="154" t="str">
        <f>IF(Z5="ABS","ABS",IF(Z5="NG","NG",IF(Z5&gt;3.6,"A+",IF(Z5&gt;3.2,"A",IF(Z5&gt;2.8,"B+",IF(Z5&gt;2.4,"B",IF(Z5&gt;2,"C+",IF(Z5&gt;1.6,"C",IF(Z5&gt;0,"D","")))))))))</f>
        <v>A</v>
      </c>
      <c r="AB5" s="119">
        <v>1041</v>
      </c>
      <c r="AC5" s="117">
        <v>37</v>
      </c>
      <c r="AD5" s="135" t="str">
        <f>IF(AC5/AC$4&gt;=0.9,"4.0",IF(AC5/AC$4&gt;=0.8,"3.6",IF(AC5/AC$4&gt;=0.7,"3.2",IF(AC5/AC$4&gt;=0.6,"2.8",IF(AC5/AC$4&gt;=0.5,"2.4",IF(AC5/AC$4&gt;=0.4,"2.0",IF(AC5/AC$4&gt;=0.35,"1.6",IF(AC5/AC$4&gt;0,"-","ABS"))))))))</f>
        <v>2.0</v>
      </c>
      <c r="AE5" s="117">
        <v>22</v>
      </c>
      <c r="AF5" s="135" t="str">
        <f>IF(AE5/AE$4&gt;=0.9,"4.0",IF(AE5/AE$4&gt;=0.8,"3.6",IF(AE5/AE$4&gt;=0.7,"3.2",IF(AE5/AE$4&gt;=0.6,"2.8",IF(AE5/AE$4&gt;=0.5,"2.4",IF(AE5/AE$4&gt;=0.4,"2.0",IF(AE5/AE$4&gt;=0.35,"1.6",IF(AE5/AE$4&gt;0,"-","ABS"))))))))</f>
        <v>3.6</v>
      </c>
      <c r="AG5" s="193">
        <f>IFERROR(IF(AD5="ABS","ABS",IF(AD5="NG","NG",(AD5*3.75+AF5*1.25)/5)),"NG")</f>
        <v>2.4</v>
      </c>
      <c r="AH5" s="154" t="str">
        <f>IF(AG5="ABS","ABS",IF(AG5="NG","NG",IF(AG5&gt;3.6,"A+",IF(AG5&gt;3.2,"A",IF(AG5&gt;2.8,"B+",IF(AG5&gt;2.4,"B",IF(AG5&gt;2,"C+",IF(AG5&gt;1.6,"C",IF(AG5&gt;0,"D","")))))))))</f>
        <v>C+</v>
      </c>
      <c r="AI5" s="119">
        <v>2111</v>
      </c>
      <c r="AJ5" s="117">
        <v>65</v>
      </c>
      <c r="AK5" s="135" t="str">
        <f>IF(AJ5/AJ$4&gt;=0.9,"4.0",IF(AJ5/AJ$4&gt;=0.8,"3.6",IF(AJ5/AJ$4&gt;=0.7,"3.2",IF(AJ5/AJ$4&gt;=0.6,"2.8",IF(AJ5/AJ$4&gt;=0.5,"2.4",IF(AJ5/AJ$4&gt;=0.4,"2.0",IF(AJ5/AJ$4&gt;=0.35,"1.6",IF(AJ5/AJ$4&gt;0,"-","ABS"))))))))</f>
        <v>3.6</v>
      </c>
      <c r="AL5" s="117">
        <v>22</v>
      </c>
      <c r="AM5" s="135" t="str">
        <f>IF(AL5/AL$4&gt;=0.9,"4.0",IF(AL5/AL$4&gt;=0.8,"3.6",IF(AL5/AL$4&gt;=0.7,"3.2",IF(AL5/AL$4&gt;=0.6,"2.8",IF(AL5/AL$4&gt;=0.5,"2.4",IF(AL5/AL$4&gt;=0.4,"2.0",IF(AL5/AL$4&gt;=0.35,"1.6",IF(AL5/AL$4&gt;0,"-","ABS"))))))))</f>
        <v>3.6</v>
      </c>
      <c r="AN5" s="193">
        <f>IFERROR(IF(AK5="ABS","ABS",IF(AK5="NG","NG",(AK5*3.75+AM5*1.25)/5)),"NG")</f>
        <v>3.6</v>
      </c>
      <c r="AO5" s="154" t="str">
        <f>IF(AN5="ABS","ABS",IF(AN5="NG","NG",IF(AN5&gt;3.6,"A+",IF(AN5&gt;3.2,"A",IF(AN5&gt;2.8,"B+",IF(AN5&gt;2.4,"B",IF(AN5&gt;2,"C+",IF(AN5&gt;1.6,"C",IF(AN5&gt;0,"D","")))))))))</f>
        <v>A</v>
      </c>
      <c r="AP5" s="120">
        <v>3331</v>
      </c>
      <c r="AQ5" s="117">
        <v>50</v>
      </c>
      <c r="AR5" s="135" t="str">
        <f>IF(AQ5/AQ$4&gt;=0.9,"4.0",IF(AQ5/AQ$4&gt;=0.8,"3.6",IF(AQ5/AQ$4&gt;=0.7,"3.2",IF(AQ5/AQ$4&gt;=0.6,"2.8",IF(AQ5/AQ$4&gt;=0.5,"2.4",IF(AQ5/AQ$4&gt;=0.4,"2.0",IF(AQ5/AQ$4&gt;=0.35,"1.6",IF(AQ5/AQ$4&gt;0,"-","ABS"))))))))</f>
        <v>4.0</v>
      </c>
      <c r="AS5" s="117">
        <v>22</v>
      </c>
      <c r="AT5" s="135" t="str">
        <f>IF(AS5/AS$4&gt;=0.9,"4.0",IF(AS5/AS$4&gt;=0.8,"3.6",IF(AS5/AS$4&gt;=0.7,"3.2",IF(AS5/AS$4&gt;=0.6,"2.8",IF(AS5/AS$4&gt;=0.5,"2.4",IF(AS5/AS$4&gt;=0.4,"2.0",IF(AS5/AS$4&gt;=0.35,"1.6",IF(AS5/AS$4&gt;0,"-","ABS"))))))))</f>
        <v>2.0</v>
      </c>
      <c r="AU5" s="193">
        <f>IFERROR(IF(AR5="ABS","ABS",IF(AR5="NG","NG",(AR5*3.75+AT5*1.25)/5)),"NG")</f>
        <v>3.5</v>
      </c>
      <c r="AV5" s="154" t="str">
        <f>IF(AU5="ABS","ABS",IF(AU5="NG","NG",IF(AU5&gt;3.6,"A+",IF(AU5&gt;3.2,"A",IF(AU5&gt;2.8,"B+",IF(AU5&gt;2.4,"B",IF(AU5&gt;2,"C+",IF(AU5&gt;1.6,"C",IF(AU5&gt;0,"D","")))))))))</f>
        <v>A</v>
      </c>
      <c r="AW5" s="128"/>
      <c r="AX5" s="129"/>
      <c r="AY5" s="136"/>
      <c r="AZ5" s="135" t="str">
        <f>IF(AY5/AY$4&gt;=0.9,"4.0",IF(AY5/AY$4&gt;=0.8,"3.6",IF(AY5/AY$4&gt;=0.7,"3.2",IF(AY5/AY$4&gt;=0.6,"2.8",IF(AY5/AY$4&gt;=0.5,"2.4",IF(AY5/AY$4&gt;=0.4,"2.0",IF(AY5/AY$4&gt;=0.35,"1.6",IF(AY5/AY$4&gt;0,"-","ABS"))))))))</f>
        <v>ABS</v>
      </c>
      <c r="BA5" s="136"/>
      <c r="BB5" s="135" t="str">
        <f>IF(BA5/BA$4&gt;=0.9,"4.0",IF(BA5/BA$4&gt;=0.8,"3.6",IF(BA5/BA$4&gt;=0.7,"3.2",IF(BA5/BA$4&gt;=0.6,"2.8",IF(BA5/BA$4&gt;=0.5,"2.4",IF(BA5/BA$4&gt;=0.4,"2.0",IF(BA5/BA$4&gt;=0.35,"1.6",IF(BA5/BA$4&gt;0,"-","ABS"))))))))</f>
        <v>ABS</v>
      </c>
      <c r="BC5" s="193" t="str">
        <f>IFERROR(IF(AZ5="ABS","ABS",IF(AZ5="NG","NG",(AZ5*3.75+BB5*1.25)/5)),"NG")</f>
        <v>ABS</v>
      </c>
      <c r="BD5" s="188" t="str">
        <f>IF(BC5="ABS","ABS",IF(BC5="NG","NG",IF(BC5&gt;3.6,"A+",IF(BC5&gt;3.2,"A",IF(BC5&gt;2.8,"B+",IF(BC5&gt;2.4,"B",IF(BC5&gt;2,"C+",IF(BC5&gt;1.6,"C",IF(BC5&gt;0,"D","")))))))))</f>
        <v>ABS</v>
      </c>
    </row>
    <row r="6" spans="2:56" s="64" customFormat="1" ht="15.5">
      <c r="B6" s="194">
        <v>2</v>
      </c>
      <c r="C6" s="122" t="s">
        <v>248</v>
      </c>
      <c r="D6" s="147">
        <v>58225</v>
      </c>
      <c r="E6" s="127">
        <v>781130010002</v>
      </c>
      <c r="F6" s="127">
        <v>11300002</v>
      </c>
      <c r="G6" s="137" t="s">
        <v>23</v>
      </c>
      <c r="H6" s="117">
        <v>66</v>
      </c>
      <c r="I6" s="138" t="str">
        <f t="shared" ref="I6:I69" si="0">IF(H6/H$4&gt;=0.9,"4.0",IF(H6/H$4&gt;=0.8,"3.6",IF(H6/H$4&gt;=0.7,"3.2",IF(H6/H$4&gt;=0.6,"2.8",IF(H6/H$4&gt;=0.5,"2.4",IF(H6/H$4&gt;=0.4,"2.0",IF(H6/H$4&gt;=0.35,"1.6",IF(H6/H$4&gt;0,"-","ABS"))))))))</f>
        <v>3.6</v>
      </c>
      <c r="J6" s="117">
        <v>24</v>
      </c>
      <c r="K6" s="138" t="str">
        <f t="shared" ref="K6:K69" si="1">IF(J6/J$4&gt;=0.9,"4.0",IF(J6/J$4&gt;=0.8,"3.6",IF(J6/J$4&gt;=0.7,"3.2",IF(J6/J$4&gt;=0.6,"2.8",IF(J6/J$4&gt;=0.5,"2.4",IF(J6/J$4&gt;=0.4,"2.0",IF(J6/J$4&gt;=0.35,"1.6",IF(J6/J$4&gt;0,"-","ABS"))))))))</f>
        <v>4.0</v>
      </c>
      <c r="L6" s="192">
        <f t="shared" ref="L6:L69" si="2">IFERROR(IF(I6="ABS","ABS",IF(I6="NG","NG",(I6*2.25+K6*0.75)/3)),"NG")</f>
        <v>3.6999999999999997</v>
      </c>
      <c r="M6" s="154" t="str">
        <f t="shared" ref="M6:M69" si="3">IF(L6="ABS","ABS",IF(L6="NG","NG",IF(L6&gt;3.6,"A+",IF(L6&gt;3.2,"A",IF(L6&gt;2.8,"B+",IF(L6&gt;2.4,"B",IF(L6&gt;2,"C+",IF(L6&gt;1.6,"C",IF(L6&gt;0,"D","")))))))))</f>
        <v>A+</v>
      </c>
      <c r="N6" s="137" t="s">
        <v>30</v>
      </c>
      <c r="O6" s="117">
        <v>53</v>
      </c>
      <c r="P6" s="138" t="str">
        <f t="shared" ref="P6:P69" si="4">IF(O6/O$4&gt;=0.9,"4.0",IF(O6/O$4&gt;=0.8,"3.6",IF(O6/O$4&gt;=0.7,"3.2",IF(O6/O$4&gt;=0.6,"2.8",IF(O6/O$4&gt;=0.5,"2.4",IF(O6/O$4&gt;=0.4,"2.0",IF(O6/O$4&gt;=0.35,"1.6",IF(O6/O$4&gt;0,"-","ABS"))))))))</f>
        <v>3.2</v>
      </c>
      <c r="Q6" s="117">
        <v>24</v>
      </c>
      <c r="R6" s="138" t="str">
        <f t="shared" ref="R6:R69" si="5">IF(Q6/Q$4&gt;=0.9,"4.0",IF(Q6/Q$4&gt;=0.8,"3.6",IF(Q6/Q$4&gt;=0.7,"3.2",IF(Q6/Q$4&gt;=0.6,"2.8",IF(Q6/Q$4&gt;=0.5,"2.4",IF(Q6/Q$4&gt;=0.4,"2.0",IF(Q6/Q$4&gt;=0.35,"1.6",IF(Q6/Q$4&gt;0,"-","ABS"))))))))</f>
        <v>4.0</v>
      </c>
      <c r="S6" s="193">
        <f t="shared" ref="S6:S69" si="6">IFERROR(IF(P6="ABS","ABS",IF(P6="NG","NG",(P6*3+R6*1)/4)),"NG")</f>
        <v>3.4000000000000004</v>
      </c>
      <c r="T6" s="154" t="str">
        <f t="shared" ref="T6:T69" si="7">IF(S6="ABS","ABS",IF(S6="NG","NG",IF(S6&gt;3.6,"A+",IF(S6&gt;3.2,"A",IF(S6&gt;2.8,"B+",IF(S6&gt;2.4,"B",IF(S6&gt;2,"C+",IF(S6&gt;1.6,"C",IF(S6&gt;0,"D","")))))))))</f>
        <v>A</v>
      </c>
      <c r="U6" s="137" t="s">
        <v>32</v>
      </c>
      <c r="V6" s="117">
        <v>70</v>
      </c>
      <c r="W6" s="138" t="str">
        <f t="shared" ref="W6:W69" si="8">IF(V6/V$4&gt;=0.9,"4.0",IF(V6/V$4&gt;=0.8,"3.6",IF(V6/V$4&gt;=0.7,"3.2",IF(V6/V$4&gt;=0.6,"2.8",IF(V6/V$4&gt;=0.5,"2.4",IF(V6/V$4&gt;=0.4,"2.0",IF(V6/V$4&gt;=0.35,"1.6",IF(V6/V$4&gt;0,"-","ABS"))))))))</f>
        <v>4.0</v>
      </c>
      <c r="X6" s="117">
        <v>24</v>
      </c>
      <c r="Y6" s="138" t="str">
        <f t="shared" ref="Y6:Y69" si="9">IF(X6/X$4&gt;=0.9,"4.0",IF(X6/X$4&gt;=0.8,"3.6",IF(X6/X$4&gt;=0.7,"3.2",IF(X6/X$4&gt;=0.6,"2.8",IF(X6/X$4&gt;=0.5,"2.4",IF(X6/X$4&gt;=0.4,"2.0",IF(X6/X$4&gt;=0.35,"1.6",IF(X6/X$4&gt;0,"-","ABS"))))))))</f>
        <v>4.0</v>
      </c>
      <c r="Z6" s="193">
        <f t="shared" ref="Z6:Z69" si="10">IFERROR(IF(W6="ABS","ABS",IF(W6="NG","NG",(W6*3.75+Y6*1.25)/5)),"NG")</f>
        <v>4</v>
      </c>
      <c r="AA6" s="154" t="str">
        <f t="shared" ref="AA6:AA69" si="11">IF(Z6="ABS","ABS",IF(Z6="NG","NG",IF(Z6&gt;3.6,"A+",IF(Z6&gt;3.2,"A",IF(Z6&gt;2.8,"B+",IF(Z6&gt;2.4,"B",IF(Z6&gt;2,"C+",IF(Z6&gt;1.6,"C",IF(Z6&gt;0,"D","")))))))))</f>
        <v>A+</v>
      </c>
      <c r="AB6" s="119">
        <v>1051</v>
      </c>
      <c r="AC6" s="117">
        <v>74</v>
      </c>
      <c r="AD6" s="138" t="str">
        <f t="shared" ref="AD6:AD69" si="12">IF(AC6/AC$4&gt;=0.9,"4.0",IF(AC6/AC$4&gt;=0.8,"3.6",IF(AC6/AC$4&gt;=0.7,"3.2",IF(AC6/AC$4&gt;=0.6,"2.8",IF(AC6/AC$4&gt;=0.5,"2.4",IF(AC6/AC$4&gt;=0.4,"2.0",IF(AC6/AC$4&gt;=0.35,"1.6",IF(AC6/AC$4&gt;0,"-","ABS"))))))))</f>
        <v>4.0</v>
      </c>
      <c r="AE6" s="117">
        <v>25</v>
      </c>
      <c r="AF6" s="138" t="str">
        <f t="shared" ref="AF6:AF69" si="13">IF(AE6/AE$4&gt;=0.9,"4.0",IF(AE6/AE$4&gt;=0.8,"3.6",IF(AE6/AE$4&gt;=0.7,"3.2",IF(AE6/AE$4&gt;=0.6,"2.8",IF(AE6/AE$4&gt;=0.5,"2.4",IF(AE6/AE$4&gt;=0.4,"2.0",IF(AE6/AE$4&gt;=0.35,"1.6",IF(AE6/AE$4&gt;0,"-","ABS"))))))))</f>
        <v>4.0</v>
      </c>
      <c r="AG6" s="193">
        <f t="shared" ref="AG6:AG69" si="14">IFERROR(IF(AD6="ABS","ABS",IF(AD6="NG","NG",(AD6*3.75+AF6*1.25)/5)),"NG")</f>
        <v>4</v>
      </c>
      <c r="AH6" s="154" t="str">
        <f t="shared" ref="AH6:AH69" si="15">IF(AG6="ABS","ABS",IF(AG6="NG","NG",IF(AG6&gt;3.6,"A+",IF(AG6&gt;3.2,"A",IF(AG6&gt;2.8,"B+",IF(AG6&gt;2.4,"B",IF(AG6&gt;2,"C+",IF(AG6&gt;1.6,"C",IF(AG6&gt;0,"D","")))))))))</f>
        <v>A+</v>
      </c>
      <c r="AI6" s="119">
        <v>2231</v>
      </c>
      <c r="AJ6" s="117">
        <v>69</v>
      </c>
      <c r="AK6" s="138" t="str">
        <f t="shared" ref="AK6:AK69" si="16">IF(AJ6/AJ$4&gt;=0.9,"4.0",IF(AJ6/AJ$4&gt;=0.8,"3.6",IF(AJ6/AJ$4&gt;=0.7,"3.2",IF(AJ6/AJ$4&gt;=0.6,"2.8",IF(AJ6/AJ$4&gt;=0.5,"2.4",IF(AJ6/AJ$4&gt;=0.4,"2.0",IF(AJ6/AJ$4&gt;=0.35,"1.6",IF(AJ6/AJ$4&gt;0,"-","ABS"))))))))</f>
        <v>4.0</v>
      </c>
      <c r="AL6" s="117">
        <v>25</v>
      </c>
      <c r="AM6" s="138" t="str">
        <f t="shared" ref="AM6:AM69" si="17">IF(AL6/AL$4&gt;=0.9,"4.0",IF(AL6/AL$4&gt;=0.8,"3.6",IF(AL6/AL$4&gt;=0.7,"3.2",IF(AL6/AL$4&gt;=0.6,"2.8",IF(AL6/AL$4&gt;=0.5,"2.4",IF(AL6/AL$4&gt;=0.4,"2.0",IF(AL6/AL$4&gt;=0.35,"1.6",IF(AL6/AL$4&gt;0,"-","ABS"))))))))</f>
        <v>4.0</v>
      </c>
      <c r="AN6" s="193">
        <f t="shared" ref="AN6:AN69" si="18">IFERROR(IF(AK6="ABS","ABS",IF(AK6="NG","NG",(AK6*3.75+AM6*1.25)/5)),"NG")</f>
        <v>4</v>
      </c>
      <c r="AO6" s="154" t="str">
        <f t="shared" ref="AO6:AO69" si="19">IF(AN6="ABS","ABS",IF(AN6="NG","NG",IF(AN6&gt;3.6,"A+",IF(AN6&gt;3.2,"A",IF(AN6&gt;2.8,"B+",IF(AN6&gt;2.4,"B",IF(AN6&gt;2,"C+",IF(AN6&gt;1.6,"C",IF(AN6&gt;0,"D","")))))))))</f>
        <v>A+</v>
      </c>
      <c r="AP6" s="120">
        <v>3091</v>
      </c>
      <c r="AQ6" s="117">
        <v>49</v>
      </c>
      <c r="AR6" s="138" t="str">
        <f t="shared" ref="AR6:AR69" si="20">IF(AQ6/AQ$4&gt;=0.9,"4.0",IF(AQ6/AQ$4&gt;=0.8,"3.6",IF(AQ6/AQ$4&gt;=0.7,"3.2",IF(AQ6/AQ$4&gt;=0.6,"2.8",IF(AQ6/AQ$4&gt;=0.5,"2.4",IF(AQ6/AQ$4&gt;=0.4,"2.0",IF(AQ6/AQ$4&gt;=0.35,"1.6",IF(AQ6/AQ$4&gt;0,"-","ABS"))))))))</f>
        <v>4.0</v>
      </c>
      <c r="AS6" s="117">
        <v>24</v>
      </c>
      <c r="AT6" s="138" t="str">
        <f t="shared" ref="AT6:AT69" si="21">IF(AS6/AS$4&gt;=0.9,"4.0",IF(AS6/AS$4&gt;=0.8,"3.6",IF(AS6/AS$4&gt;=0.7,"3.2",IF(AS6/AS$4&gt;=0.6,"2.8",IF(AS6/AS$4&gt;=0.5,"2.4",IF(AS6/AS$4&gt;=0.4,"2.0",IF(AS6/AS$4&gt;=0.35,"1.6",IF(AS6/AS$4&gt;0,"-","ABS"))))))))</f>
        <v>2.0</v>
      </c>
      <c r="AU6" s="193">
        <f t="shared" ref="AU6:AU69" si="22">IFERROR(IF(AR6="ABS","ABS",IF(AR6="NG","NG",(AR6*3.75+AT6*1.25)/5)),"NG")</f>
        <v>3.5</v>
      </c>
      <c r="AV6" s="154" t="str">
        <f t="shared" ref="AV6:AV69" si="23">IF(AU6="ABS","ABS",IF(AU6="NG","NG",IF(AU6&gt;3.6,"A+",IF(AU6&gt;3.2,"A",IF(AU6&gt;2.8,"B+",IF(AU6&gt;2.4,"B",IF(AU6&gt;2,"C+",IF(AU6&gt;1.6,"C",IF(AU6&gt;0,"D","")))))))))</f>
        <v>A</v>
      </c>
      <c r="AW6" s="139"/>
      <c r="AX6" s="140"/>
      <c r="AY6" s="141"/>
      <c r="AZ6" s="138" t="str">
        <f t="shared" ref="AZ6:AZ69" si="24">IF(AY6/AY$4&gt;=0.9,"4.0",IF(AY6/AY$4&gt;=0.8,"3.6",IF(AY6/AY$4&gt;=0.7,"3.2",IF(AY6/AY$4&gt;=0.6,"2.8",IF(AY6/AY$4&gt;=0.5,"2.4",IF(AY6/AY$4&gt;=0.4,"2.0",IF(AY6/AY$4&gt;=0.35,"1.6",IF(AY6/AY$4&gt;0,"-","ABS"))))))))</f>
        <v>ABS</v>
      </c>
      <c r="BA6" s="141"/>
      <c r="BB6" s="138" t="str">
        <f t="shared" ref="BB6:BB69" si="25">IF(BA6/BA$4&gt;=0.9,"4.0",IF(BA6/BA$4&gt;=0.8,"3.6",IF(BA6/BA$4&gt;=0.7,"3.2",IF(BA6/BA$4&gt;=0.6,"2.8",IF(BA6/BA$4&gt;=0.5,"2.4",IF(BA6/BA$4&gt;=0.4,"2.0",IF(BA6/BA$4&gt;=0.35,"1.6",IF(BA6/BA$4&gt;0,"-","ABS"))))))))</f>
        <v>ABS</v>
      </c>
      <c r="BC6" s="193" t="str">
        <f t="shared" ref="BC6:BC69" si="26">IFERROR(IF(AZ6="ABS","ABS",IF(AZ6="NG","NG",(AZ6*3.75+BB6*1.25)/5)),"NG")</f>
        <v>ABS</v>
      </c>
      <c r="BD6" s="188" t="str">
        <f t="shared" ref="BD6:BD69" si="27">IF(BC6="ABS","ABS",IF(BC6="NG","NG",IF(BC6&gt;3.6,"A+",IF(BC6&gt;3.2,"A",IF(BC6&gt;2.8,"B+",IF(BC6&gt;2.4,"B",IF(BC6&gt;2,"C+",IF(BC6&gt;1.6,"C",IF(BC6&gt;0,"D","")))))))))</f>
        <v>ABS</v>
      </c>
    </row>
    <row r="7" spans="2:56" s="64" customFormat="1" ht="15.5">
      <c r="B7" s="194">
        <v>3</v>
      </c>
      <c r="C7" s="122" t="s">
        <v>249</v>
      </c>
      <c r="D7" s="147">
        <v>58025</v>
      </c>
      <c r="E7" s="127">
        <v>781130010003</v>
      </c>
      <c r="F7" s="127">
        <v>11300003</v>
      </c>
      <c r="G7" s="137" t="s">
        <v>23</v>
      </c>
      <c r="H7" s="117">
        <v>52</v>
      </c>
      <c r="I7" s="138" t="str">
        <f t="shared" si="0"/>
        <v>2.8</v>
      </c>
      <c r="J7" s="117">
        <v>22</v>
      </c>
      <c r="K7" s="138" t="str">
        <f t="shared" si="1"/>
        <v>3.6</v>
      </c>
      <c r="L7" s="192">
        <f t="shared" si="2"/>
        <v>3</v>
      </c>
      <c r="M7" s="154" t="str">
        <f t="shared" si="3"/>
        <v>B+</v>
      </c>
      <c r="N7" s="137" t="s">
        <v>30</v>
      </c>
      <c r="O7" s="117">
        <v>49</v>
      </c>
      <c r="P7" s="138" t="str">
        <f t="shared" si="4"/>
        <v>2.8</v>
      </c>
      <c r="Q7" s="117">
        <v>22</v>
      </c>
      <c r="R7" s="138" t="str">
        <f t="shared" si="5"/>
        <v>3.6</v>
      </c>
      <c r="S7" s="193">
        <f t="shared" si="6"/>
        <v>2.9999999999999996</v>
      </c>
      <c r="T7" s="154" t="str">
        <f t="shared" si="7"/>
        <v>B+</v>
      </c>
      <c r="U7" s="137" t="s">
        <v>32</v>
      </c>
      <c r="V7" s="117">
        <v>55</v>
      </c>
      <c r="W7" s="138" t="str">
        <f t="shared" si="8"/>
        <v>3.2</v>
      </c>
      <c r="X7" s="117">
        <v>22</v>
      </c>
      <c r="Y7" s="138" t="str">
        <f t="shared" si="9"/>
        <v>3.6</v>
      </c>
      <c r="Z7" s="193">
        <f t="shared" si="10"/>
        <v>3.3</v>
      </c>
      <c r="AA7" s="154" t="str">
        <f t="shared" si="11"/>
        <v>A</v>
      </c>
      <c r="AB7" s="119">
        <v>1051</v>
      </c>
      <c r="AC7" s="117">
        <v>38</v>
      </c>
      <c r="AD7" s="138" t="str">
        <f t="shared" si="12"/>
        <v>2.4</v>
      </c>
      <c r="AE7" s="117">
        <v>22</v>
      </c>
      <c r="AF7" s="138" t="str">
        <f t="shared" si="13"/>
        <v>3.6</v>
      </c>
      <c r="AG7" s="193">
        <f t="shared" si="14"/>
        <v>2.7</v>
      </c>
      <c r="AH7" s="154" t="str">
        <f t="shared" si="15"/>
        <v>B</v>
      </c>
      <c r="AI7" s="119">
        <v>2231</v>
      </c>
      <c r="AJ7" s="117">
        <v>65</v>
      </c>
      <c r="AK7" s="138" t="str">
        <f t="shared" si="16"/>
        <v>3.6</v>
      </c>
      <c r="AL7" s="117">
        <v>22</v>
      </c>
      <c r="AM7" s="138" t="str">
        <f t="shared" si="17"/>
        <v>3.6</v>
      </c>
      <c r="AN7" s="193">
        <f t="shared" si="18"/>
        <v>3.6</v>
      </c>
      <c r="AO7" s="154" t="str">
        <f t="shared" si="19"/>
        <v>A</v>
      </c>
      <c r="AP7" s="120">
        <v>3091</v>
      </c>
      <c r="AQ7" s="117">
        <v>50</v>
      </c>
      <c r="AR7" s="138" t="str">
        <f t="shared" si="20"/>
        <v>4.0</v>
      </c>
      <c r="AS7" s="117">
        <v>22</v>
      </c>
      <c r="AT7" s="138" t="str">
        <f t="shared" si="21"/>
        <v>2.0</v>
      </c>
      <c r="AU7" s="193">
        <f t="shared" si="22"/>
        <v>3.5</v>
      </c>
      <c r="AV7" s="154" t="str">
        <f t="shared" si="23"/>
        <v>A</v>
      </c>
      <c r="AW7" s="139"/>
      <c r="AX7" s="140"/>
      <c r="AY7" s="141"/>
      <c r="AZ7" s="138" t="str">
        <f t="shared" si="24"/>
        <v>ABS</v>
      </c>
      <c r="BA7" s="141"/>
      <c r="BB7" s="138" t="str">
        <f t="shared" si="25"/>
        <v>ABS</v>
      </c>
      <c r="BC7" s="193" t="str">
        <f t="shared" si="26"/>
        <v>ABS</v>
      </c>
      <c r="BD7" s="188" t="str">
        <f t="shared" si="27"/>
        <v>ABS</v>
      </c>
    </row>
    <row r="8" spans="2:56" s="64" customFormat="1" ht="15.5">
      <c r="B8" s="194">
        <v>4</v>
      </c>
      <c r="C8" s="122" t="s">
        <v>250</v>
      </c>
      <c r="D8" s="147">
        <v>59328</v>
      </c>
      <c r="E8" s="127">
        <v>781130010004</v>
      </c>
      <c r="F8" s="127">
        <v>11300004</v>
      </c>
      <c r="G8" s="137" t="s">
        <v>23</v>
      </c>
      <c r="H8" s="117">
        <v>66</v>
      </c>
      <c r="I8" s="138" t="str">
        <f t="shared" si="0"/>
        <v>3.6</v>
      </c>
      <c r="J8" s="117">
        <v>21</v>
      </c>
      <c r="K8" s="138" t="str">
        <f t="shared" si="1"/>
        <v>3.6</v>
      </c>
      <c r="L8" s="192">
        <f t="shared" si="2"/>
        <v>3.6</v>
      </c>
      <c r="M8" s="154" t="str">
        <f t="shared" si="3"/>
        <v>A</v>
      </c>
      <c r="N8" s="137" t="s">
        <v>30</v>
      </c>
      <c r="O8" s="117">
        <v>45</v>
      </c>
      <c r="P8" s="138" t="str">
        <f t="shared" si="4"/>
        <v>2.8</v>
      </c>
      <c r="Q8" s="117">
        <v>15</v>
      </c>
      <c r="R8" s="138" t="str">
        <f t="shared" si="5"/>
        <v>2.8</v>
      </c>
      <c r="S8" s="193">
        <f t="shared" si="6"/>
        <v>2.8</v>
      </c>
      <c r="T8" s="154" t="str">
        <f t="shared" si="7"/>
        <v>B</v>
      </c>
      <c r="U8" s="137" t="s">
        <v>32</v>
      </c>
      <c r="V8" s="117">
        <v>66</v>
      </c>
      <c r="W8" s="138" t="str">
        <f t="shared" si="8"/>
        <v>3.6</v>
      </c>
      <c r="X8" s="117">
        <v>22</v>
      </c>
      <c r="Y8" s="138" t="str">
        <f t="shared" si="9"/>
        <v>3.6</v>
      </c>
      <c r="Z8" s="193">
        <f t="shared" si="10"/>
        <v>3.6</v>
      </c>
      <c r="AA8" s="154" t="str">
        <f t="shared" si="11"/>
        <v>A</v>
      </c>
      <c r="AB8" s="120">
        <v>1031</v>
      </c>
      <c r="AC8" s="117">
        <v>66</v>
      </c>
      <c r="AD8" s="138" t="str">
        <f t="shared" si="12"/>
        <v>3.6</v>
      </c>
      <c r="AE8" s="117">
        <v>21</v>
      </c>
      <c r="AF8" s="138" t="str">
        <f t="shared" si="13"/>
        <v>3.6</v>
      </c>
      <c r="AG8" s="193">
        <f t="shared" si="14"/>
        <v>3.6</v>
      </c>
      <c r="AH8" s="154" t="str">
        <f t="shared" si="15"/>
        <v>A</v>
      </c>
      <c r="AI8" s="119">
        <v>2151</v>
      </c>
      <c r="AJ8" s="117">
        <v>65</v>
      </c>
      <c r="AK8" s="138" t="str">
        <f t="shared" si="16"/>
        <v>3.6</v>
      </c>
      <c r="AL8" s="117">
        <v>23</v>
      </c>
      <c r="AM8" s="138" t="str">
        <f t="shared" si="17"/>
        <v>4.0</v>
      </c>
      <c r="AN8" s="193">
        <f t="shared" si="18"/>
        <v>3.7</v>
      </c>
      <c r="AO8" s="154" t="str">
        <f t="shared" si="19"/>
        <v>A+</v>
      </c>
      <c r="AP8" s="120">
        <v>3031</v>
      </c>
      <c r="AQ8" s="117">
        <v>41</v>
      </c>
      <c r="AR8" s="138" t="str">
        <f t="shared" si="20"/>
        <v>3.6</v>
      </c>
      <c r="AS8" s="117">
        <v>16</v>
      </c>
      <c r="AT8" s="138" t="str">
        <f t="shared" si="21"/>
        <v>-</v>
      </c>
      <c r="AU8" s="193" t="str">
        <f t="shared" si="22"/>
        <v>NG</v>
      </c>
      <c r="AV8" s="154" t="str">
        <f t="shared" si="23"/>
        <v>NG</v>
      </c>
      <c r="AW8" s="139"/>
      <c r="AX8" s="140"/>
      <c r="AY8" s="141"/>
      <c r="AZ8" s="138" t="str">
        <f t="shared" si="24"/>
        <v>ABS</v>
      </c>
      <c r="BA8" s="141"/>
      <c r="BB8" s="138" t="str">
        <f t="shared" si="25"/>
        <v>ABS</v>
      </c>
      <c r="BC8" s="193" t="str">
        <f t="shared" si="26"/>
        <v>ABS</v>
      </c>
      <c r="BD8" s="188" t="str">
        <f t="shared" si="27"/>
        <v>ABS</v>
      </c>
    </row>
    <row r="9" spans="2:56" s="64" customFormat="1" ht="15.5">
      <c r="B9" s="194">
        <v>5</v>
      </c>
      <c r="C9" s="122" t="s">
        <v>251</v>
      </c>
      <c r="D9" s="147">
        <v>57734</v>
      </c>
      <c r="E9" s="127">
        <v>781130010005</v>
      </c>
      <c r="F9" s="127">
        <v>11300005</v>
      </c>
      <c r="G9" s="137" t="s">
        <v>23</v>
      </c>
      <c r="H9" s="117">
        <v>55</v>
      </c>
      <c r="I9" s="138" t="str">
        <f t="shared" si="0"/>
        <v>3.2</v>
      </c>
      <c r="J9" s="117">
        <v>20</v>
      </c>
      <c r="K9" s="138" t="str">
        <f t="shared" si="1"/>
        <v>3.6</v>
      </c>
      <c r="L9" s="192">
        <f t="shared" si="2"/>
        <v>3.3000000000000003</v>
      </c>
      <c r="M9" s="154" t="str">
        <f t="shared" si="3"/>
        <v>A</v>
      </c>
      <c r="N9" s="137" t="s">
        <v>30</v>
      </c>
      <c r="O9" s="117">
        <v>37.5</v>
      </c>
      <c r="P9" s="138" t="str">
        <f t="shared" si="4"/>
        <v>2.4</v>
      </c>
      <c r="Q9" s="117">
        <v>12.5</v>
      </c>
      <c r="R9" s="138" t="str">
        <f t="shared" si="5"/>
        <v>2.4</v>
      </c>
      <c r="S9" s="193">
        <f t="shared" si="6"/>
        <v>2.4</v>
      </c>
      <c r="T9" s="154" t="str">
        <f t="shared" si="7"/>
        <v>C+</v>
      </c>
      <c r="U9" s="137" t="s">
        <v>32</v>
      </c>
      <c r="V9" s="117">
        <v>55</v>
      </c>
      <c r="W9" s="138" t="str">
        <f t="shared" si="8"/>
        <v>3.2</v>
      </c>
      <c r="X9" s="117">
        <v>21</v>
      </c>
      <c r="Y9" s="138" t="str">
        <f t="shared" si="9"/>
        <v>3.6</v>
      </c>
      <c r="Z9" s="193">
        <f t="shared" si="10"/>
        <v>3.3</v>
      </c>
      <c r="AA9" s="154" t="str">
        <f t="shared" si="11"/>
        <v>A</v>
      </c>
      <c r="AB9" s="120">
        <v>1031</v>
      </c>
      <c r="AC9" s="117">
        <v>45</v>
      </c>
      <c r="AD9" s="138" t="str">
        <f t="shared" si="12"/>
        <v>2.8</v>
      </c>
      <c r="AE9" s="117">
        <v>20</v>
      </c>
      <c r="AF9" s="138" t="str">
        <f t="shared" si="13"/>
        <v>3.6</v>
      </c>
      <c r="AG9" s="193">
        <f t="shared" si="14"/>
        <v>3</v>
      </c>
      <c r="AH9" s="154" t="str">
        <f t="shared" si="15"/>
        <v>B+</v>
      </c>
      <c r="AI9" s="119">
        <v>2151</v>
      </c>
      <c r="AJ9" s="117">
        <v>63</v>
      </c>
      <c r="AK9" s="138" t="str">
        <f t="shared" si="16"/>
        <v>3.6</v>
      </c>
      <c r="AL9" s="117">
        <v>23</v>
      </c>
      <c r="AM9" s="138" t="str">
        <f t="shared" si="17"/>
        <v>4.0</v>
      </c>
      <c r="AN9" s="193">
        <f t="shared" si="18"/>
        <v>3.7</v>
      </c>
      <c r="AO9" s="154" t="str">
        <f t="shared" si="19"/>
        <v>A+</v>
      </c>
      <c r="AP9" s="120">
        <v>3031</v>
      </c>
      <c r="AQ9" s="117">
        <v>33</v>
      </c>
      <c r="AR9" s="138" t="str">
        <f t="shared" si="20"/>
        <v>2.8</v>
      </c>
      <c r="AS9" s="117">
        <v>17</v>
      </c>
      <c r="AT9" s="138" t="str">
        <f t="shared" si="21"/>
        <v>-</v>
      </c>
      <c r="AU9" s="193" t="str">
        <f t="shared" si="22"/>
        <v>NG</v>
      </c>
      <c r="AV9" s="154" t="str">
        <f t="shared" si="23"/>
        <v>NG</v>
      </c>
      <c r="AW9" s="139"/>
      <c r="AX9" s="140"/>
      <c r="AY9" s="141"/>
      <c r="AZ9" s="138" t="str">
        <f t="shared" si="24"/>
        <v>ABS</v>
      </c>
      <c r="BA9" s="141"/>
      <c r="BB9" s="138" t="str">
        <f t="shared" si="25"/>
        <v>ABS</v>
      </c>
      <c r="BC9" s="193" t="str">
        <f t="shared" si="26"/>
        <v>ABS</v>
      </c>
      <c r="BD9" s="188" t="str">
        <f t="shared" si="27"/>
        <v>ABS</v>
      </c>
    </row>
    <row r="10" spans="2:56" s="64" customFormat="1" ht="15.5">
      <c r="B10" s="194">
        <v>6</v>
      </c>
      <c r="C10" s="122" t="s">
        <v>252</v>
      </c>
      <c r="D10" s="147">
        <v>58089</v>
      </c>
      <c r="E10" s="127">
        <v>781130010006</v>
      </c>
      <c r="F10" s="127">
        <v>11300006</v>
      </c>
      <c r="G10" s="137" t="s">
        <v>23</v>
      </c>
      <c r="H10" s="117">
        <v>67</v>
      </c>
      <c r="I10" s="138" t="str">
        <f t="shared" si="0"/>
        <v>3.6</v>
      </c>
      <c r="J10" s="117">
        <v>21</v>
      </c>
      <c r="K10" s="138" t="str">
        <f t="shared" si="1"/>
        <v>3.6</v>
      </c>
      <c r="L10" s="192">
        <f t="shared" si="2"/>
        <v>3.6</v>
      </c>
      <c r="M10" s="154" t="str">
        <f t="shared" si="3"/>
        <v>A</v>
      </c>
      <c r="N10" s="137" t="s">
        <v>30</v>
      </c>
      <c r="O10" s="117">
        <v>30</v>
      </c>
      <c r="P10" s="138" t="str">
        <f t="shared" si="4"/>
        <v>2.0</v>
      </c>
      <c r="Q10" s="117">
        <v>10</v>
      </c>
      <c r="R10" s="138" t="str">
        <f t="shared" si="5"/>
        <v>2.0</v>
      </c>
      <c r="S10" s="193">
        <f t="shared" si="6"/>
        <v>2</v>
      </c>
      <c r="T10" s="154" t="str">
        <f t="shared" si="7"/>
        <v>C</v>
      </c>
      <c r="U10" s="137" t="s">
        <v>32</v>
      </c>
      <c r="V10" s="117">
        <v>67</v>
      </c>
      <c r="W10" s="138" t="str">
        <f t="shared" si="8"/>
        <v>3.6</v>
      </c>
      <c r="X10" s="117">
        <v>20</v>
      </c>
      <c r="Y10" s="138" t="str">
        <f t="shared" si="9"/>
        <v>3.6</v>
      </c>
      <c r="Z10" s="193">
        <f t="shared" si="10"/>
        <v>3.6</v>
      </c>
      <c r="AA10" s="154" t="str">
        <f t="shared" si="11"/>
        <v>A</v>
      </c>
      <c r="AB10" s="120">
        <v>1031</v>
      </c>
      <c r="AC10" s="117">
        <v>54</v>
      </c>
      <c r="AD10" s="138" t="str">
        <f t="shared" si="12"/>
        <v>3.2</v>
      </c>
      <c r="AE10" s="117">
        <v>20</v>
      </c>
      <c r="AF10" s="138" t="str">
        <f t="shared" si="13"/>
        <v>3.6</v>
      </c>
      <c r="AG10" s="193">
        <f t="shared" si="14"/>
        <v>3.3</v>
      </c>
      <c r="AH10" s="154" t="str">
        <f t="shared" si="15"/>
        <v>A</v>
      </c>
      <c r="AI10" s="119">
        <v>2151</v>
      </c>
      <c r="AJ10" s="117">
        <v>63</v>
      </c>
      <c r="AK10" s="138" t="str">
        <f t="shared" si="16"/>
        <v>3.6</v>
      </c>
      <c r="AL10" s="117">
        <v>23</v>
      </c>
      <c r="AM10" s="138" t="str">
        <f t="shared" si="17"/>
        <v>4.0</v>
      </c>
      <c r="AN10" s="193">
        <f t="shared" si="18"/>
        <v>3.7</v>
      </c>
      <c r="AO10" s="154" t="str">
        <f t="shared" si="19"/>
        <v>A+</v>
      </c>
      <c r="AP10" s="120">
        <v>3031</v>
      </c>
      <c r="AQ10" s="117">
        <v>23</v>
      </c>
      <c r="AR10" s="138" t="str">
        <f t="shared" si="20"/>
        <v>2.0</v>
      </c>
      <c r="AS10" s="117">
        <v>19</v>
      </c>
      <c r="AT10" s="138" t="str">
        <f t="shared" si="21"/>
        <v>1.6</v>
      </c>
      <c r="AU10" s="193">
        <f t="shared" si="22"/>
        <v>1.9</v>
      </c>
      <c r="AV10" s="154" t="str">
        <f t="shared" si="23"/>
        <v>C</v>
      </c>
      <c r="AW10" s="139"/>
      <c r="AX10" s="140"/>
      <c r="AY10" s="141"/>
      <c r="AZ10" s="138" t="str">
        <f t="shared" si="24"/>
        <v>ABS</v>
      </c>
      <c r="BA10" s="141"/>
      <c r="BB10" s="138" t="str">
        <f t="shared" si="25"/>
        <v>ABS</v>
      </c>
      <c r="BC10" s="193" t="str">
        <f t="shared" si="26"/>
        <v>ABS</v>
      </c>
      <c r="BD10" s="188" t="str">
        <f t="shared" si="27"/>
        <v>ABS</v>
      </c>
    </row>
    <row r="11" spans="2:56" s="64" customFormat="1" ht="15.5">
      <c r="B11" s="194">
        <v>7</v>
      </c>
      <c r="C11" s="122" t="s">
        <v>253</v>
      </c>
      <c r="D11" s="147">
        <v>58564</v>
      </c>
      <c r="E11" s="127">
        <v>781130010007</v>
      </c>
      <c r="F11" s="127">
        <v>11300007</v>
      </c>
      <c r="G11" s="137" t="s">
        <v>23</v>
      </c>
      <c r="H11" s="117">
        <v>60</v>
      </c>
      <c r="I11" s="138" t="str">
        <f t="shared" si="0"/>
        <v>3.6</v>
      </c>
      <c r="J11" s="117">
        <v>23</v>
      </c>
      <c r="K11" s="138" t="str">
        <f t="shared" si="1"/>
        <v>4.0</v>
      </c>
      <c r="L11" s="192">
        <f t="shared" si="2"/>
        <v>3.6999999999999997</v>
      </c>
      <c r="M11" s="154" t="str">
        <f t="shared" si="3"/>
        <v>A+</v>
      </c>
      <c r="N11" s="137" t="s">
        <v>30</v>
      </c>
      <c r="O11" s="117">
        <v>26.25</v>
      </c>
      <c r="P11" s="138" t="str">
        <f t="shared" si="4"/>
        <v>1.6</v>
      </c>
      <c r="Q11" s="117">
        <v>8.75</v>
      </c>
      <c r="R11" s="138" t="str">
        <f t="shared" si="5"/>
        <v>1.6</v>
      </c>
      <c r="S11" s="193">
        <f t="shared" si="6"/>
        <v>1.6</v>
      </c>
      <c r="T11" s="154" t="str">
        <f t="shared" si="7"/>
        <v>D</v>
      </c>
      <c r="U11" s="137" t="s">
        <v>32</v>
      </c>
      <c r="V11" s="117">
        <v>50</v>
      </c>
      <c r="W11" s="138" t="str">
        <f t="shared" si="8"/>
        <v>2.8</v>
      </c>
      <c r="X11" s="117">
        <v>21</v>
      </c>
      <c r="Y11" s="138" t="str">
        <f t="shared" si="9"/>
        <v>3.6</v>
      </c>
      <c r="Z11" s="193">
        <f t="shared" si="10"/>
        <v>3</v>
      </c>
      <c r="AA11" s="154" t="str">
        <f t="shared" si="11"/>
        <v>B+</v>
      </c>
      <c r="AB11" s="120">
        <v>1151</v>
      </c>
      <c r="AC11" s="117">
        <v>45</v>
      </c>
      <c r="AD11" s="138" t="str">
        <f t="shared" si="12"/>
        <v>2.8</v>
      </c>
      <c r="AE11" s="117">
        <v>22</v>
      </c>
      <c r="AF11" s="138" t="str">
        <f t="shared" si="13"/>
        <v>3.6</v>
      </c>
      <c r="AG11" s="193">
        <f t="shared" si="14"/>
        <v>3</v>
      </c>
      <c r="AH11" s="154" t="str">
        <f t="shared" si="15"/>
        <v>B+</v>
      </c>
      <c r="AI11" s="119">
        <v>1151</v>
      </c>
      <c r="AJ11" s="117">
        <v>67</v>
      </c>
      <c r="AK11" s="138" t="str">
        <f t="shared" si="16"/>
        <v>3.6</v>
      </c>
      <c r="AL11" s="117">
        <v>22</v>
      </c>
      <c r="AM11" s="138" t="str">
        <f t="shared" si="17"/>
        <v>3.6</v>
      </c>
      <c r="AN11" s="193">
        <f t="shared" si="18"/>
        <v>3.6</v>
      </c>
      <c r="AO11" s="154" t="str">
        <f t="shared" si="19"/>
        <v>A</v>
      </c>
      <c r="AP11" s="120">
        <v>1151</v>
      </c>
      <c r="AQ11" s="117">
        <v>45</v>
      </c>
      <c r="AR11" s="138" t="str">
        <f t="shared" si="20"/>
        <v>4.0</v>
      </c>
      <c r="AS11" s="117">
        <v>20</v>
      </c>
      <c r="AT11" s="138" t="str">
        <f t="shared" si="21"/>
        <v>2.0</v>
      </c>
      <c r="AU11" s="193">
        <f t="shared" si="22"/>
        <v>3.5</v>
      </c>
      <c r="AV11" s="154" t="str">
        <f t="shared" si="23"/>
        <v>A</v>
      </c>
      <c r="AW11" s="139"/>
      <c r="AX11" s="140"/>
      <c r="AY11" s="141"/>
      <c r="AZ11" s="138" t="str">
        <f t="shared" si="24"/>
        <v>ABS</v>
      </c>
      <c r="BA11" s="141"/>
      <c r="BB11" s="138" t="str">
        <f t="shared" si="25"/>
        <v>ABS</v>
      </c>
      <c r="BC11" s="193" t="str">
        <f t="shared" si="26"/>
        <v>ABS</v>
      </c>
      <c r="BD11" s="188" t="str">
        <f t="shared" si="27"/>
        <v>ABS</v>
      </c>
    </row>
    <row r="12" spans="2:56" s="64" customFormat="1" ht="15.5">
      <c r="B12" s="194">
        <v>8</v>
      </c>
      <c r="C12" s="122" t="s">
        <v>254</v>
      </c>
      <c r="D12" s="147">
        <v>58997</v>
      </c>
      <c r="E12" s="127">
        <v>781130010008</v>
      </c>
      <c r="F12" s="127">
        <v>11300008</v>
      </c>
      <c r="G12" s="137" t="s">
        <v>23</v>
      </c>
      <c r="H12" s="117">
        <v>41</v>
      </c>
      <c r="I12" s="138" t="str">
        <f t="shared" si="0"/>
        <v>2.4</v>
      </c>
      <c r="J12" s="117">
        <v>22</v>
      </c>
      <c r="K12" s="138" t="str">
        <f t="shared" si="1"/>
        <v>3.6</v>
      </c>
      <c r="L12" s="192">
        <f t="shared" si="2"/>
        <v>2.6999999999999997</v>
      </c>
      <c r="M12" s="154" t="str">
        <f t="shared" si="3"/>
        <v>B</v>
      </c>
      <c r="N12" s="137" t="s">
        <v>30</v>
      </c>
      <c r="O12" s="117">
        <v>26</v>
      </c>
      <c r="P12" s="138" t="str">
        <f t="shared" si="4"/>
        <v>-</v>
      </c>
      <c r="Q12" s="117">
        <v>8</v>
      </c>
      <c r="R12" s="138" t="str">
        <f t="shared" si="5"/>
        <v>-</v>
      </c>
      <c r="S12" s="193" t="str">
        <f t="shared" si="6"/>
        <v>NG</v>
      </c>
      <c r="T12" s="154" t="str">
        <f t="shared" si="7"/>
        <v>NG</v>
      </c>
      <c r="U12" s="137" t="s">
        <v>32</v>
      </c>
      <c r="V12" s="117">
        <v>67</v>
      </c>
      <c r="W12" s="138" t="str">
        <f t="shared" si="8"/>
        <v>3.6</v>
      </c>
      <c r="X12" s="117">
        <v>22</v>
      </c>
      <c r="Y12" s="138" t="str">
        <f t="shared" si="9"/>
        <v>3.6</v>
      </c>
      <c r="Z12" s="193">
        <f t="shared" si="10"/>
        <v>3.6</v>
      </c>
      <c r="AA12" s="154" t="str">
        <f t="shared" si="11"/>
        <v>A</v>
      </c>
      <c r="AB12" s="120">
        <v>1151</v>
      </c>
      <c r="AC12" s="117">
        <v>43</v>
      </c>
      <c r="AD12" s="138" t="str">
        <f t="shared" si="12"/>
        <v>2.4</v>
      </c>
      <c r="AE12" s="117">
        <v>23</v>
      </c>
      <c r="AF12" s="138" t="str">
        <f t="shared" si="13"/>
        <v>4.0</v>
      </c>
      <c r="AG12" s="193">
        <f t="shared" si="14"/>
        <v>2.8</v>
      </c>
      <c r="AH12" s="154" t="str">
        <f t="shared" si="15"/>
        <v>B</v>
      </c>
      <c r="AI12" s="119">
        <v>2031</v>
      </c>
      <c r="AJ12" s="117">
        <v>32</v>
      </c>
      <c r="AK12" s="138" t="str">
        <f t="shared" si="16"/>
        <v>2.0</v>
      </c>
      <c r="AL12" s="117">
        <v>23</v>
      </c>
      <c r="AM12" s="138" t="str">
        <f t="shared" si="17"/>
        <v>4.0</v>
      </c>
      <c r="AN12" s="193">
        <f t="shared" si="18"/>
        <v>2.5</v>
      </c>
      <c r="AO12" s="154" t="str">
        <f t="shared" si="19"/>
        <v>B</v>
      </c>
      <c r="AP12" s="120">
        <v>3311</v>
      </c>
      <c r="AQ12" s="117">
        <v>29</v>
      </c>
      <c r="AR12" s="138" t="str">
        <f t="shared" si="20"/>
        <v>2.4</v>
      </c>
      <c r="AS12" s="117">
        <v>19</v>
      </c>
      <c r="AT12" s="138" t="str">
        <f t="shared" si="21"/>
        <v>1.6</v>
      </c>
      <c r="AU12" s="193">
        <f t="shared" si="22"/>
        <v>2.2000000000000002</v>
      </c>
      <c r="AV12" s="154" t="str">
        <f t="shared" si="23"/>
        <v>C+</v>
      </c>
      <c r="AW12" s="139"/>
      <c r="AX12" s="140"/>
      <c r="AY12" s="141"/>
      <c r="AZ12" s="138" t="str">
        <f t="shared" si="24"/>
        <v>ABS</v>
      </c>
      <c r="BA12" s="141"/>
      <c r="BB12" s="138" t="str">
        <f t="shared" si="25"/>
        <v>ABS</v>
      </c>
      <c r="BC12" s="193" t="str">
        <f t="shared" si="26"/>
        <v>ABS</v>
      </c>
      <c r="BD12" s="188" t="str">
        <f t="shared" si="27"/>
        <v>ABS</v>
      </c>
    </row>
    <row r="13" spans="2:56" s="64" customFormat="1" ht="15.5">
      <c r="B13" s="194">
        <v>9</v>
      </c>
      <c r="C13" s="122" t="s">
        <v>255</v>
      </c>
      <c r="D13" s="147">
        <v>55113</v>
      </c>
      <c r="E13" s="127">
        <v>781130010009</v>
      </c>
      <c r="F13" s="127">
        <v>11300009</v>
      </c>
      <c r="G13" s="137" t="s">
        <v>23</v>
      </c>
      <c r="H13" s="117">
        <v>56</v>
      </c>
      <c r="I13" s="138" t="str">
        <f t="shared" si="0"/>
        <v>3.2</v>
      </c>
      <c r="J13" s="117">
        <v>23</v>
      </c>
      <c r="K13" s="138" t="str">
        <f t="shared" si="1"/>
        <v>4.0</v>
      </c>
      <c r="L13" s="192">
        <f t="shared" si="2"/>
        <v>3.4</v>
      </c>
      <c r="M13" s="154" t="str">
        <f t="shared" si="3"/>
        <v>A</v>
      </c>
      <c r="N13" s="137" t="s">
        <v>30</v>
      </c>
      <c r="O13" s="117"/>
      <c r="P13" s="138" t="str">
        <f t="shared" si="4"/>
        <v>ABS</v>
      </c>
      <c r="Q13" s="117"/>
      <c r="R13" s="138" t="str">
        <f t="shared" si="5"/>
        <v>ABS</v>
      </c>
      <c r="S13" s="193" t="str">
        <f t="shared" si="6"/>
        <v>ABS</v>
      </c>
      <c r="T13" s="154" t="str">
        <f t="shared" si="7"/>
        <v>ABS</v>
      </c>
      <c r="U13" s="137" t="s">
        <v>32</v>
      </c>
      <c r="V13" s="117">
        <v>23</v>
      </c>
      <c r="W13" s="138" t="str">
        <f t="shared" si="8"/>
        <v>-</v>
      </c>
      <c r="X13" s="117">
        <v>22</v>
      </c>
      <c r="Y13" s="138" t="str">
        <f t="shared" si="9"/>
        <v>3.6</v>
      </c>
      <c r="Z13" s="193" t="str">
        <f t="shared" si="10"/>
        <v>NG</v>
      </c>
      <c r="AA13" s="154" t="str">
        <f t="shared" si="11"/>
        <v>NG</v>
      </c>
      <c r="AB13" s="120">
        <v>1051</v>
      </c>
      <c r="AC13" s="117">
        <v>47</v>
      </c>
      <c r="AD13" s="138" t="str">
        <f t="shared" si="12"/>
        <v>2.8</v>
      </c>
      <c r="AE13" s="117">
        <v>23</v>
      </c>
      <c r="AF13" s="138" t="str">
        <f t="shared" si="13"/>
        <v>4.0</v>
      </c>
      <c r="AG13" s="193">
        <f t="shared" si="14"/>
        <v>3.1</v>
      </c>
      <c r="AH13" s="154" t="str">
        <f t="shared" si="15"/>
        <v>B+</v>
      </c>
      <c r="AI13" s="119">
        <v>2231</v>
      </c>
      <c r="AJ13" s="117">
        <v>53</v>
      </c>
      <c r="AK13" s="138" t="str">
        <f t="shared" si="16"/>
        <v>3.2</v>
      </c>
      <c r="AL13" s="117">
        <v>21</v>
      </c>
      <c r="AM13" s="138" t="str">
        <f t="shared" si="17"/>
        <v>3.6</v>
      </c>
      <c r="AN13" s="193">
        <f t="shared" si="18"/>
        <v>3.3</v>
      </c>
      <c r="AO13" s="154" t="str">
        <f t="shared" si="19"/>
        <v>A</v>
      </c>
      <c r="AP13" s="120">
        <v>3091</v>
      </c>
      <c r="AQ13" s="117">
        <v>42</v>
      </c>
      <c r="AR13" s="138" t="str">
        <f t="shared" si="20"/>
        <v>3.6</v>
      </c>
      <c r="AS13" s="117">
        <v>20</v>
      </c>
      <c r="AT13" s="138" t="str">
        <f t="shared" si="21"/>
        <v>2.0</v>
      </c>
      <c r="AU13" s="193">
        <f t="shared" si="22"/>
        <v>3.2</v>
      </c>
      <c r="AV13" s="154" t="str">
        <f t="shared" si="23"/>
        <v>B+</v>
      </c>
      <c r="AW13" s="139"/>
      <c r="AX13" s="140"/>
      <c r="AY13" s="141"/>
      <c r="AZ13" s="138" t="str">
        <f t="shared" si="24"/>
        <v>ABS</v>
      </c>
      <c r="BA13" s="141"/>
      <c r="BB13" s="138" t="str">
        <f t="shared" si="25"/>
        <v>ABS</v>
      </c>
      <c r="BC13" s="193" t="str">
        <f t="shared" si="26"/>
        <v>ABS</v>
      </c>
      <c r="BD13" s="188" t="str">
        <f t="shared" si="27"/>
        <v>ABS</v>
      </c>
    </row>
    <row r="14" spans="2:56" s="64" customFormat="1" ht="15.5">
      <c r="B14" s="194">
        <v>10</v>
      </c>
      <c r="C14" s="122" t="s">
        <v>256</v>
      </c>
      <c r="D14" s="147">
        <v>57245</v>
      </c>
      <c r="E14" s="127">
        <v>781130010010</v>
      </c>
      <c r="F14" s="127">
        <v>11300010</v>
      </c>
      <c r="G14" s="137" t="s">
        <v>23</v>
      </c>
      <c r="H14" s="117">
        <v>38</v>
      </c>
      <c r="I14" s="138" t="str">
        <f t="shared" si="0"/>
        <v>2.4</v>
      </c>
      <c r="J14" s="117">
        <v>22</v>
      </c>
      <c r="K14" s="138" t="str">
        <f t="shared" si="1"/>
        <v>3.6</v>
      </c>
      <c r="L14" s="192">
        <f t="shared" si="2"/>
        <v>2.6999999999999997</v>
      </c>
      <c r="M14" s="154" t="str">
        <f t="shared" si="3"/>
        <v>B</v>
      </c>
      <c r="N14" s="137" t="s">
        <v>30</v>
      </c>
      <c r="O14" s="117">
        <v>36</v>
      </c>
      <c r="P14" s="138" t="str">
        <f t="shared" si="4"/>
        <v>2.0</v>
      </c>
      <c r="Q14" s="117">
        <v>20</v>
      </c>
      <c r="R14" s="138" t="str">
        <f t="shared" si="5"/>
        <v>3.6</v>
      </c>
      <c r="S14" s="193">
        <f t="shared" si="6"/>
        <v>2.4</v>
      </c>
      <c r="T14" s="154" t="str">
        <f t="shared" si="7"/>
        <v>C+</v>
      </c>
      <c r="U14" s="137" t="s">
        <v>32</v>
      </c>
      <c r="V14" s="117">
        <v>36</v>
      </c>
      <c r="W14" s="138" t="str">
        <f t="shared" si="8"/>
        <v>2.0</v>
      </c>
      <c r="X14" s="117">
        <v>18</v>
      </c>
      <c r="Y14" s="138" t="str">
        <f t="shared" si="9"/>
        <v>3.2</v>
      </c>
      <c r="Z14" s="193">
        <f t="shared" si="10"/>
        <v>2.2999999999999998</v>
      </c>
      <c r="AA14" s="154" t="str">
        <f t="shared" si="11"/>
        <v>C+</v>
      </c>
      <c r="AB14" s="120">
        <v>1031</v>
      </c>
      <c r="AC14" s="117">
        <v>36</v>
      </c>
      <c r="AD14" s="138" t="str">
        <f t="shared" si="12"/>
        <v>2.0</v>
      </c>
      <c r="AE14" s="117">
        <v>24</v>
      </c>
      <c r="AF14" s="138" t="str">
        <f t="shared" si="13"/>
        <v>4.0</v>
      </c>
      <c r="AG14" s="193">
        <f t="shared" si="14"/>
        <v>2.5</v>
      </c>
      <c r="AH14" s="154" t="str">
        <f t="shared" si="15"/>
        <v>B</v>
      </c>
      <c r="AI14" s="119">
        <v>2151</v>
      </c>
      <c r="AJ14" s="117">
        <v>36</v>
      </c>
      <c r="AK14" s="138" t="str">
        <f t="shared" si="16"/>
        <v>2.0</v>
      </c>
      <c r="AL14" s="117">
        <v>23</v>
      </c>
      <c r="AM14" s="138" t="str">
        <f t="shared" si="17"/>
        <v>4.0</v>
      </c>
      <c r="AN14" s="193">
        <f t="shared" si="18"/>
        <v>2.5</v>
      </c>
      <c r="AO14" s="154" t="str">
        <f t="shared" si="19"/>
        <v>B</v>
      </c>
      <c r="AP14" s="120">
        <v>3031</v>
      </c>
      <c r="AQ14" s="117">
        <v>36</v>
      </c>
      <c r="AR14" s="138" t="str">
        <f t="shared" si="20"/>
        <v>3.2</v>
      </c>
      <c r="AS14" s="117">
        <v>20</v>
      </c>
      <c r="AT14" s="138" t="str">
        <f t="shared" si="21"/>
        <v>2.0</v>
      </c>
      <c r="AU14" s="193">
        <f t="shared" si="22"/>
        <v>2.9</v>
      </c>
      <c r="AV14" s="154" t="str">
        <f t="shared" si="23"/>
        <v>B+</v>
      </c>
      <c r="AW14" s="139"/>
      <c r="AX14" s="140"/>
      <c r="AY14" s="141"/>
      <c r="AZ14" s="138" t="str">
        <f t="shared" si="24"/>
        <v>ABS</v>
      </c>
      <c r="BA14" s="141"/>
      <c r="BB14" s="138" t="str">
        <f t="shared" si="25"/>
        <v>ABS</v>
      </c>
      <c r="BC14" s="193" t="str">
        <f t="shared" si="26"/>
        <v>ABS</v>
      </c>
      <c r="BD14" s="188" t="str">
        <f t="shared" si="27"/>
        <v>ABS</v>
      </c>
    </row>
    <row r="15" spans="2:56" s="64" customFormat="1" ht="15.5">
      <c r="B15" s="194">
        <v>11</v>
      </c>
      <c r="C15" s="122" t="s">
        <v>257</v>
      </c>
      <c r="D15" s="147">
        <v>56181</v>
      </c>
      <c r="E15" s="127">
        <v>781130010011</v>
      </c>
      <c r="F15" s="127">
        <v>11300011</v>
      </c>
      <c r="G15" s="137" t="s">
        <v>23</v>
      </c>
      <c r="H15" s="117">
        <v>68</v>
      </c>
      <c r="I15" s="138" t="str">
        <f t="shared" ref="I15" si="28">IF(H15/H$4&gt;=0.9,"4.0",IF(H15/H$4&gt;=0.8,"3.6",IF(H15/H$4&gt;=0.7,"3.2",IF(H15/H$4&gt;=0.6,"2.8",IF(H15/H$4&gt;=0.5,"2.4",IF(H15/H$4&gt;=0.4,"2.0",IF(H15/H$4&gt;=0.35,"1.6",IF(H15/H$4&gt;0,"-","ABS"))))))))</f>
        <v>4.0</v>
      </c>
      <c r="J15" s="117">
        <v>22</v>
      </c>
      <c r="K15" s="138" t="str">
        <f t="shared" si="1"/>
        <v>3.6</v>
      </c>
      <c r="L15" s="192">
        <f t="shared" si="2"/>
        <v>3.9</v>
      </c>
      <c r="M15" s="154" t="str">
        <f t="shared" si="3"/>
        <v>A+</v>
      </c>
      <c r="N15" s="137" t="s">
        <v>30</v>
      </c>
      <c r="O15" s="117">
        <v>69</v>
      </c>
      <c r="P15" s="138" t="str">
        <f t="shared" ref="P15" si="29">IF(O15/O$4&gt;=0.9,"4.0",IF(O15/O$4&gt;=0.8,"3.6",IF(O15/O$4&gt;=0.7,"3.2",IF(O15/O$4&gt;=0.6,"2.8",IF(O15/O$4&gt;=0.5,"2.4",IF(O15/O$4&gt;=0.4,"2.0",IF(O15/O$4&gt;=0.35,"1.6",IF(O15/O$4&gt;0,"-","ABS"))))))))</f>
        <v>4.0</v>
      </c>
      <c r="Q15" s="117">
        <v>24</v>
      </c>
      <c r="R15" s="138" t="str">
        <f t="shared" ref="R15" si="30">IF(Q15/Q$4&gt;=0.9,"4.0",IF(Q15/Q$4&gt;=0.8,"3.6",IF(Q15/Q$4&gt;=0.7,"3.2",IF(Q15/Q$4&gt;=0.6,"2.8",IF(Q15/Q$4&gt;=0.5,"2.4",IF(Q15/Q$4&gt;=0.4,"2.0",IF(Q15/Q$4&gt;=0.35,"1.6",IF(Q15/Q$4&gt;0,"-","ABS"))))))))</f>
        <v>4.0</v>
      </c>
      <c r="S15" s="193">
        <f t="shared" si="6"/>
        <v>4</v>
      </c>
      <c r="T15" s="154" t="str">
        <f t="shared" si="7"/>
        <v>A+</v>
      </c>
      <c r="U15" s="137" t="s">
        <v>32</v>
      </c>
      <c r="V15" s="117">
        <v>68</v>
      </c>
      <c r="W15" s="138" t="str">
        <f t="shared" ref="W15" si="31">IF(V15/V$4&gt;=0.9,"4.0",IF(V15/V$4&gt;=0.8,"3.6",IF(V15/V$4&gt;=0.7,"3.2",IF(V15/V$4&gt;=0.6,"2.8",IF(V15/V$4&gt;=0.5,"2.4",IF(V15/V$4&gt;=0.4,"2.0",IF(V15/V$4&gt;=0.35,"1.6",IF(V15/V$4&gt;0,"-","ABS"))))))))</f>
        <v>4.0</v>
      </c>
      <c r="X15" s="117">
        <v>23</v>
      </c>
      <c r="Y15" s="138" t="str">
        <f t="shared" ref="Y15" si="32">IF(X15/X$4&gt;=0.9,"4.0",IF(X15/X$4&gt;=0.8,"3.6",IF(X15/X$4&gt;=0.7,"3.2",IF(X15/X$4&gt;=0.6,"2.8",IF(X15/X$4&gt;=0.5,"2.4",IF(X15/X$4&gt;=0.4,"2.0",IF(X15/X$4&gt;=0.35,"1.6",IF(X15/X$4&gt;0,"-","ABS"))))))))</f>
        <v>4.0</v>
      </c>
      <c r="Z15" s="193">
        <f t="shared" si="10"/>
        <v>4</v>
      </c>
      <c r="AA15" s="154" t="str">
        <f t="shared" si="11"/>
        <v>A+</v>
      </c>
      <c r="AB15" s="119">
        <v>1051</v>
      </c>
      <c r="AC15" s="117">
        <v>68</v>
      </c>
      <c r="AD15" s="138" t="str">
        <f t="shared" ref="AD15" si="33">IF(AC15/AC$4&gt;=0.9,"4.0",IF(AC15/AC$4&gt;=0.8,"3.6",IF(AC15/AC$4&gt;=0.7,"3.2",IF(AC15/AC$4&gt;=0.6,"2.8",IF(AC15/AC$4&gt;=0.5,"2.4",IF(AC15/AC$4&gt;=0.4,"2.0",IF(AC15/AC$4&gt;=0.35,"1.6",IF(AC15/AC$4&gt;0,"-","ABS"))))))))</f>
        <v>4.0</v>
      </c>
      <c r="AE15" s="117">
        <v>24</v>
      </c>
      <c r="AF15" s="138" t="str">
        <f t="shared" ref="AF15" si="34">IF(AE15/AE$4&gt;=0.9,"4.0",IF(AE15/AE$4&gt;=0.8,"3.6",IF(AE15/AE$4&gt;=0.7,"3.2",IF(AE15/AE$4&gt;=0.6,"2.8",IF(AE15/AE$4&gt;=0.5,"2.4",IF(AE15/AE$4&gt;=0.4,"2.0",IF(AE15/AE$4&gt;=0.35,"1.6",IF(AE15/AE$4&gt;0,"-","ABS"))))))))</f>
        <v>4.0</v>
      </c>
      <c r="AG15" s="193">
        <f t="shared" si="14"/>
        <v>4</v>
      </c>
      <c r="AH15" s="154" t="str">
        <f t="shared" si="15"/>
        <v>A+</v>
      </c>
      <c r="AI15" s="119">
        <v>2231</v>
      </c>
      <c r="AJ15" s="117">
        <v>68</v>
      </c>
      <c r="AK15" s="138" t="str">
        <f t="shared" ref="AK15" si="35">IF(AJ15/AJ$4&gt;=0.9,"4.0",IF(AJ15/AJ$4&gt;=0.8,"3.6",IF(AJ15/AJ$4&gt;=0.7,"3.2",IF(AJ15/AJ$4&gt;=0.6,"2.8",IF(AJ15/AJ$4&gt;=0.5,"2.4",IF(AJ15/AJ$4&gt;=0.4,"2.0",IF(AJ15/AJ$4&gt;=0.35,"1.6",IF(AJ15/AJ$4&gt;0,"-","ABS"))))))))</f>
        <v>4.0</v>
      </c>
      <c r="AL15" s="117">
        <v>22</v>
      </c>
      <c r="AM15" s="138" t="str">
        <f t="shared" ref="AM15" si="36">IF(AL15/AL$4&gt;=0.9,"4.0",IF(AL15/AL$4&gt;=0.8,"3.6",IF(AL15/AL$4&gt;=0.7,"3.2",IF(AL15/AL$4&gt;=0.6,"2.8",IF(AL15/AL$4&gt;=0.5,"2.4",IF(AL15/AL$4&gt;=0.4,"2.0",IF(AL15/AL$4&gt;=0.35,"1.6",IF(AL15/AL$4&gt;0,"-","ABS"))))))))</f>
        <v>3.6</v>
      </c>
      <c r="AN15" s="193">
        <f t="shared" si="18"/>
        <v>3.9</v>
      </c>
      <c r="AO15" s="154" t="str">
        <f t="shared" si="19"/>
        <v>A+</v>
      </c>
      <c r="AP15" s="120">
        <v>3091</v>
      </c>
      <c r="AQ15" s="117">
        <v>15</v>
      </c>
      <c r="AR15" s="138" t="str">
        <f t="shared" ref="AR15" si="37">IF(AQ15/AQ$4&gt;=0.9,"4.0",IF(AQ15/AQ$4&gt;=0.8,"3.6",IF(AQ15/AQ$4&gt;=0.7,"3.2",IF(AQ15/AQ$4&gt;=0.6,"2.8",IF(AQ15/AQ$4&gt;=0.5,"2.4",IF(AQ15/AQ$4&gt;=0.4,"2.0",IF(AQ15/AQ$4&gt;=0.35,"1.6",IF(AQ15/AQ$4&gt;0,"-","ABS"))))))))</f>
        <v>-</v>
      </c>
      <c r="AS15" s="117">
        <v>23</v>
      </c>
      <c r="AT15" s="138" t="str">
        <f t="shared" ref="AT15" si="38">IF(AS15/AS$4&gt;=0.9,"4.0",IF(AS15/AS$4&gt;=0.8,"3.6",IF(AS15/AS$4&gt;=0.7,"3.2",IF(AS15/AS$4&gt;=0.6,"2.8",IF(AS15/AS$4&gt;=0.5,"2.4",IF(AS15/AS$4&gt;=0.4,"2.0",IF(AS15/AS$4&gt;=0.35,"1.6",IF(AS15/AS$4&gt;0,"-","ABS"))))))))</f>
        <v>2.0</v>
      </c>
      <c r="AU15" s="193" t="str">
        <f t="shared" si="22"/>
        <v>NG</v>
      </c>
      <c r="AV15" s="154" t="str">
        <f t="shared" si="23"/>
        <v>NG</v>
      </c>
      <c r="AW15" s="139"/>
      <c r="AX15" s="140"/>
      <c r="AY15" s="141"/>
      <c r="AZ15" s="138" t="str">
        <f t="shared" ref="AZ15" si="39">IF(AY15/AY$4&gt;=0.9,"4.0",IF(AY15/AY$4&gt;=0.8,"3.6",IF(AY15/AY$4&gt;=0.7,"3.2",IF(AY15/AY$4&gt;=0.6,"2.8",IF(AY15/AY$4&gt;=0.5,"2.4",IF(AY15/AY$4&gt;=0.4,"2.0",IF(AY15/AY$4&gt;=0.35,"1.6",IF(AY15/AY$4&gt;0,"-","ABS"))))))))</f>
        <v>ABS</v>
      </c>
      <c r="BA15" s="141"/>
      <c r="BB15" s="138" t="str">
        <f t="shared" ref="BB15" si="40">IF(BA15/BA$4&gt;=0.9,"4.0",IF(BA15/BA$4&gt;=0.8,"3.6",IF(BA15/BA$4&gt;=0.7,"3.2",IF(BA15/BA$4&gt;=0.6,"2.8",IF(BA15/BA$4&gt;=0.5,"2.4",IF(BA15/BA$4&gt;=0.4,"2.0",IF(BA15/BA$4&gt;=0.35,"1.6",IF(BA15/BA$4&gt;0,"-","ABS"))))))))</f>
        <v>ABS</v>
      </c>
      <c r="BC15" s="193" t="str">
        <f t="shared" si="26"/>
        <v>ABS</v>
      </c>
      <c r="BD15" s="188" t="str">
        <f t="shared" si="27"/>
        <v>ABS</v>
      </c>
    </row>
    <row r="16" spans="2:56" s="64" customFormat="1" ht="15.5">
      <c r="B16" s="194">
        <v>12</v>
      </c>
      <c r="C16" s="122" t="s">
        <v>258</v>
      </c>
      <c r="D16" s="147">
        <v>59902</v>
      </c>
      <c r="E16" s="127">
        <v>781130010012</v>
      </c>
      <c r="F16" s="127">
        <v>11300014</v>
      </c>
      <c r="G16" s="137" t="s">
        <v>23</v>
      </c>
      <c r="H16" s="117">
        <v>72</v>
      </c>
      <c r="I16" s="138" t="str">
        <f t="shared" si="0"/>
        <v>4.0</v>
      </c>
      <c r="J16" s="117">
        <v>25</v>
      </c>
      <c r="K16" s="138" t="str">
        <f t="shared" si="1"/>
        <v>4.0</v>
      </c>
      <c r="L16" s="192">
        <f t="shared" si="2"/>
        <v>4</v>
      </c>
      <c r="M16" s="154" t="str">
        <f t="shared" si="3"/>
        <v>A+</v>
      </c>
      <c r="N16" s="137" t="s">
        <v>30</v>
      </c>
      <c r="O16" s="117">
        <v>75</v>
      </c>
      <c r="P16" s="138" t="str">
        <f t="shared" si="4"/>
        <v>4.0</v>
      </c>
      <c r="Q16" s="117">
        <v>25</v>
      </c>
      <c r="R16" s="138" t="str">
        <f t="shared" si="5"/>
        <v>4.0</v>
      </c>
      <c r="S16" s="193">
        <f t="shared" si="6"/>
        <v>4</v>
      </c>
      <c r="T16" s="154" t="str">
        <f t="shared" si="7"/>
        <v>A+</v>
      </c>
      <c r="U16" s="137" t="s">
        <v>32</v>
      </c>
      <c r="V16" s="117">
        <v>75</v>
      </c>
      <c r="W16" s="138" t="str">
        <f t="shared" si="8"/>
        <v>4.0</v>
      </c>
      <c r="X16" s="117">
        <v>25</v>
      </c>
      <c r="Y16" s="138" t="str">
        <f t="shared" si="9"/>
        <v>4.0</v>
      </c>
      <c r="Z16" s="193">
        <f t="shared" si="10"/>
        <v>4</v>
      </c>
      <c r="AA16" s="154" t="str">
        <f t="shared" si="11"/>
        <v>A+</v>
      </c>
      <c r="AB16" s="120">
        <v>1051</v>
      </c>
      <c r="AC16" s="117">
        <v>75</v>
      </c>
      <c r="AD16" s="138" t="str">
        <f t="shared" si="12"/>
        <v>4.0</v>
      </c>
      <c r="AE16" s="117">
        <v>25</v>
      </c>
      <c r="AF16" s="138" t="str">
        <f t="shared" si="13"/>
        <v>4.0</v>
      </c>
      <c r="AG16" s="193">
        <f t="shared" si="14"/>
        <v>4</v>
      </c>
      <c r="AH16" s="154" t="str">
        <f t="shared" si="15"/>
        <v>A+</v>
      </c>
      <c r="AI16" s="119">
        <v>2231</v>
      </c>
      <c r="AJ16" s="117">
        <v>75</v>
      </c>
      <c r="AK16" s="138" t="str">
        <f t="shared" si="16"/>
        <v>4.0</v>
      </c>
      <c r="AL16" s="117">
        <v>25</v>
      </c>
      <c r="AM16" s="138" t="str">
        <f t="shared" si="17"/>
        <v>4.0</v>
      </c>
      <c r="AN16" s="193">
        <f t="shared" si="18"/>
        <v>4</v>
      </c>
      <c r="AO16" s="154" t="str">
        <f t="shared" si="19"/>
        <v>A+</v>
      </c>
      <c r="AP16" s="120">
        <v>3091</v>
      </c>
      <c r="AQ16" s="117">
        <v>5</v>
      </c>
      <c r="AR16" s="138" t="str">
        <f t="shared" si="20"/>
        <v>-</v>
      </c>
      <c r="AS16" s="117">
        <v>25</v>
      </c>
      <c r="AT16" s="138" t="str">
        <f t="shared" si="21"/>
        <v>2.4</v>
      </c>
      <c r="AU16" s="193" t="str">
        <f t="shared" si="22"/>
        <v>NG</v>
      </c>
      <c r="AV16" s="154" t="str">
        <f t="shared" si="23"/>
        <v>NG</v>
      </c>
      <c r="AW16" s="139"/>
      <c r="AX16" s="140"/>
      <c r="AY16" s="141"/>
      <c r="AZ16" s="138" t="str">
        <f t="shared" si="24"/>
        <v>ABS</v>
      </c>
      <c r="BA16" s="141"/>
      <c r="BB16" s="138" t="str">
        <f t="shared" si="25"/>
        <v>ABS</v>
      </c>
      <c r="BC16" s="193" t="str">
        <f t="shared" si="26"/>
        <v>ABS</v>
      </c>
      <c r="BD16" s="188" t="str">
        <f t="shared" si="27"/>
        <v>ABS</v>
      </c>
    </row>
    <row r="17" spans="2:56" s="64" customFormat="1" ht="15.5">
      <c r="B17" s="217">
        <v>13</v>
      </c>
      <c r="C17" s="122"/>
      <c r="D17" s="147"/>
      <c r="E17" s="127"/>
      <c r="F17" s="127"/>
      <c r="G17" s="137" t="s">
        <v>23</v>
      </c>
      <c r="H17" s="117"/>
      <c r="I17" s="138" t="str">
        <f t="shared" si="0"/>
        <v>ABS</v>
      </c>
      <c r="J17" s="117"/>
      <c r="K17" s="138" t="str">
        <f t="shared" si="1"/>
        <v>ABS</v>
      </c>
      <c r="L17" s="192" t="str">
        <f t="shared" si="2"/>
        <v>ABS</v>
      </c>
      <c r="M17" s="154" t="str">
        <f t="shared" si="3"/>
        <v>ABS</v>
      </c>
      <c r="N17" s="137" t="s">
        <v>30</v>
      </c>
      <c r="O17" s="117"/>
      <c r="P17" s="138" t="str">
        <f t="shared" si="4"/>
        <v>ABS</v>
      </c>
      <c r="Q17" s="117"/>
      <c r="R17" s="138" t="str">
        <f t="shared" si="5"/>
        <v>ABS</v>
      </c>
      <c r="S17" s="193" t="str">
        <f t="shared" si="6"/>
        <v>ABS</v>
      </c>
      <c r="T17" s="154" t="str">
        <f t="shared" si="7"/>
        <v>ABS</v>
      </c>
      <c r="U17" s="137" t="s">
        <v>32</v>
      </c>
      <c r="V17" s="117"/>
      <c r="W17" s="138" t="str">
        <f t="shared" si="8"/>
        <v>ABS</v>
      </c>
      <c r="X17" s="117"/>
      <c r="Y17" s="138" t="str">
        <f t="shared" si="9"/>
        <v>ABS</v>
      </c>
      <c r="Z17" s="193" t="str">
        <f t="shared" si="10"/>
        <v>ABS</v>
      </c>
      <c r="AA17" s="154" t="str">
        <f t="shared" si="11"/>
        <v>ABS</v>
      </c>
      <c r="AB17" s="120"/>
      <c r="AC17" s="117"/>
      <c r="AD17" s="138" t="str">
        <f t="shared" si="12"/>
        <v>ABS</v>
      </c>
      <c r="AE17" s="117"/>
      <c r="AF17" s="138" t="str">
        <f t="shared" si="13"/>
        <v>ABS</v>
      </c>
      <c r="AG17" s="193" t="str">
        <f t="shared" si="14"/>
        <v>ABS</v>
      </c>
      <c r="AH17" s="154" t="str">
        <f t="shared" si="15"/>
        <v>ABS</v>
      </c>
      <c r="AI17" s="119"/>
      <c r="AJ17" s="117"/>
      <c r="AK17" s="138" t="str">
        <f t="shared" si="16"/>
        <v>ABS</v>
      </c>
      <c r="AL17" s="117"/>
      <c r="AM17" s="138" t="str">
        <f t="shared" si="17"/>
        <v>ABS</v>
      </c>
      <c r="AN17" s="193" t="str">
        <f t="shared" si="18"/>
        <v>ABS</v>
      </c>
      <c r="AO17" s="154" t="str">
        <f t="shared" si="19"/>
        <v>ABS</v>
      </c>
      <c r="AP17" s="120"/>
      <c r="AQ17" s="117"/>
      <c r="AR17" s="138" t="str">
        <f t="shared" si="20"/>
        <v>ABS</v>
      </c>
      <c r="AS17" s="117"/>
      <c r="AT17" s="138" t="str">
        <f t="shared" si="21"/>
        <v>ABS</v>
      </c>
      <c r="AU17" s="193" t="str">
        <f t="shared" si="22"/>
        <v>ABS</v>
      </c>
      <c r="AV17" s="154" t="str">
        <f t="shared" si="23"/>
        <v>ABS</v>
      </c>
      <c r="AW17" s="139"/>
      <c r="AX17" s="140"/>
      <c r="AY17" s="141"/>
      <c r="AZ17" s="138" t="str">
        <f t="shared" si="24"/>
        <v>ABS</v>
      </c>
      <c r="BA17" s="141"/>
      <c r="BB17" s="138" t="str">
        <f t="shared" si="25"/>
        <v>ABS</v>
      </c>
      <c r="BC17" s="193" t="str">
        <f t="shared" si="26"/>
        <v>ABS</v>
      </c>
      <c r="BD17" s="188" t="str">
        <f t="shared" si="27"/>
        <v>ABS</v>
      </c>
    </row>
    <row r="18" spans="2:56" s="64" customFormat="1" ht="15.5">
      <c r="B18" s="194">
        <v>14</v>
      </c>
      <c r="C18" s="122"/>
      <c r="D18" s="147"/>
      <c r="E18" s="127"/>
      <c r="F18" s="127"/>
      <c r="G18" s="137" t="s">
        <v>23</v>
      </c>
      <c r="H18" s="117"/>
      <c r="I18" s="138" t="str">
        <f t="shared" si="0"/>
        <v>ABS</v>
      </c>
      <c r="J18" s="117"/>
      <c r="K18" s="138" t="str">
        <f t="shared" si="1"/>
        <v>ABS</v>
      </c>
      <c r="L18" s="192" t="str">
        <f t="shared" si="2"/>
        <v>ABS</v>
      </c>
      <c r="M18" s="154" t="str">
        <f t="shared" si="3"/>
        <v>ABS</v>
      </c>
      <c r="N18" s="137" t="s">
        <v>30</v>
      </c>
      <c r="O18" s="117"/>
      <c r="P18" s="138" t="str">
        <f t="shared" si="4"/>
        <v>ABS</v>
      </c>
      <c r="Q18" s="117"/>
      <c r="R18" s="138" t="str">
        <f t="shared" si="5"/>
        <v>ABS</v>
      </c>
      <c r="S18" s="193" t="str">
        <f t="shared" si="6"/>
        <v>ABS</v>
      </c>
      <c r="T18" s="154" t="str">
        <f t="shared" si="7"/>
        <v>ABS</v>
      </c>
      <c r="U18" s="137" t="s">
        <v>32</v>
      </c>
      <c r="V18" s="117"/>
      <c r="W18" s="138" t="str">
        <f t="shared" si="8"/>
        <v>ABS</v>
      </c>
      <c r="X18" s="117"/>
      <c r="Y18" s="138" t="str">
        <f t="shared" si="9"/>
        <v>ABS</v>
      </c>
      <c r="Z18" s="193" t="str">
        <f t="shared" si="10"/>
        <v>ABS</v>
      </c>
      <c r="AA18" s="154" t="str">
        <f t="shared" si="11"/>
        <v>ABS</v>
      </c>
      <c r="AB18" s="120"/>
      <c r="AC18" s="117"/>
      <c r="AD18" s="138" t="str">
        <f t="shared" si="12"/>
        <v>ABS</v>
      </c>
      <c r="AE18" s="117"/>
      <c r="AF18" s="138" t="str">
        <f t="shared" si="13"/>
        <v>ABS</v>
      </c>
      <c r="AG18" s="193" t="str">
        <f t="shared" si="14"/>
        <v>ABS</v>
      </c>
      <c r="AH18" s="154" t="str">
        <f t="shared" si="15"/>
        <v>ABS</v>
      </c>
      <c r="AI18" s="119"/>
      <c r="AJ18" s="117"/>
      <c r="AK18" s="138" t="str">
        <f t="shared" si="16"/>
        <v>ABS</v>
      </c>
      <c r="AL18" s="117"/>
      <c r="AM18" s="138" t="str">
        <f t="shared" si="17"/>
        <v>ABS</v>
      </c>
      <c r="AN18" s="193" t="str">
        <f t="shared" si="18"/>
        <v>ABS</v>
      </c>
      <c r="AO18" s="154" t="str">
        <f t="shared" si="19"/>
        <v>ABS</v>
      </c>
      <c r="AP18" s="120"/>
      <c r="AQ18" s="117"/>
      <c r="AR18" s="138" t="str">
        <f t="shared" si="20"/>
        <v>ABS</v>
      </c>
      <c r="AS18" s="117"/>
      <c r="AT18" s="138" t="str">
        <f t="shared" si="21"/>
        <v>ABS</v>
      </c>
      <c r="AU18" s="193" t="str">
        <f t="shared" si="22"/>
        <v>ABS</v>
      </c>
      <c r="AV18" s="154" t="str">
        <f t="shared" si="23"/>
        <v>ABS</v>
      </c>
      <c r="AW18" s="139"/>
      <c r="AX18" s="140"/>
      <c r="AY18" s="141"/>
      <c r="AZ18" s="138" t="str">
        <f t="shared" si="24"/>
        <v>ABS</v>
      </c>
      <c r="BA18" s="141"/>
      <c r="BB18" s="138" t="str">
        <f t="shared" si="25"/>
        <v>ABS</v>
      </c>
      <c r="BC18" s="193" t="str">
        <f t="shared" si="26"/>
        <v>ABS</v>
      </c>
      <c r="BD18" s="188" t="str">
        <f t="shared" si="27"/>
        <v>ABS</v>
      </c>
    </row>
    <row r="19" spans="2:56" s="64" customFormat="1" ht="15.5">
      <c r="B19" s="194">
        <v>15</v>
      </c>
      <c r="C19" s="122"/>
      <c r="D19" s="147"/>
      <c r="E19" s="127"/>
      <c r="F19" s="127"/>
      <c r="G19" s="137" t="s">
        <v>23</v>
      </c>
      <c r="H19" s="117"/>
      <c r="I19" s="138" t="str">
        <f t="shared" si="0"/>
        <v>ABS</v>
      </c>
      <c r="J19" s="117"/>
      <c r="K19" s="138" t="str">
        <f t="shared" si="1"/>
        <v>ABS</v>
      </c>
      <c r="L19" s="192" t="str">
        <f t="shared" si="2"/>
        <v>ABS</v>
      </c>
      <c r="M19" s="154" t="str">
        <f>IF(L19="ABS","ABS",IF(L19="NG","NG",IF(L19&gt;3.6,"A+",IF(L19&gt;3.2,"A",IF(L19&gt;2.8,"B+",IF(L19&gt;2.4,"B",IF(L19&gt;2,"C+",IF(L19&gt;1.6,"C",IF(L19&gt;0,"D","")))))))))</f>
        <v>ABS</v>
      </c>
      <c r="N19" s="137" t="s">
        <v>30</v>
      </c>
      <c r="O19" s="117"/>
      <c r="P19" s="138" t="str">
        <f t="shared" si="4"/>
        <v>ABS</v>
      </c>
      <c r="Q19" s="117"/>
      <c r="R19" s="138" t="str">
        <f t="shared" si="5"/>
        <v>ABS</v>
      </c>
      <c r="S19" s="193" t="str">
        <f t="shared" si="6"/>
        <v>ABS</v>
      </c>
      <c r="T19" s="154" t="str">
        <f t="shared" si="7"/>
        <v>ABS</v>
      </c>
      <c r="U19" s="137" t="s">
        <v>32</v>
      </c>
      <c r="V19" s="117"/>
      <c r="W19" s="138" t="str">
        <f t="shared" si="8"/>
        <v>ABS</v>
      </c>
      <c r="X19" s="117"/>
      <c r="Y19" s="138" t="str">
        <f t="shared" si="9"/>
        <v>ABS</v>
      </c>
      <c r="Z19" s="193" t="str">
        <f t="shared" si="10"/>
        <v>ABS</v>
      </c>
      <c r="AA19" s="154" t="str">
        <f t="shared" si="11"/>
        <v>ABS</v>
      </c>
      <c r="AB19" s="120"/>
      <c r="AC19" s="117"/>
      <c r="AD19" s="138" t="str">
        <f t="shared" si="12"/>
        <v>ABS</v>
      </c>
      <c r="AE19" s="117"/>
      <c r="AF19" s="138" t="str">
        <f t="shared" si="13"/>
        <v>ABS</v>
      </c>
      <c r="AG19" s="193" t="str">
        <f t="shared" si="14"/>
        <v>ABS</v>
      </c>
      <c r="AH19" s="154" t="str">
        <f t="shared" si="15"/>
        <v>ABS</v>
      </c>
      <c r="AI19" s="119"/>
      <c r="AJ19" s="117"/>
      <c r="AK19" s="138" t="str">
        <f t="shared" si="16"/>
        <v>ABS</v>
      </c>
      <c r="AL19" s="117"/>
      <c r="AM19" s="138" t="str">
        <f t="shared" si="17"/>
        <v>ABS</v>
      </c>
      <c r="AN19" s="193" t="str">
        <f t="shared" si="18"/>
        <v>ABS</v>
      </c>
      <c r="AO19" s="154" t="str">
        <f t="shared" si="19"/>
        <v>ABS</v>
      </c>
      <c r="AP19" s="120"/>
      <c r="AQ19" s="117"/>
      <c r="AR19" s="138" t="str">
        <f t="shared" si="20"/>
        <v>ABS</v>
      </c>
      <c r="AS19" s="117"/>
      <c r="AT19" s="138" t="str">
        <f t="shared" si="21"/>
        <v>ABS</v>
      </c>
      <c r="AU19" s="193" t="str">
        <f t="shared" si="22"/>
        <v>ABS</v>
      </c>
      <c r="AV19" s="154" t="str">
        <f t="shared" si="23"/>
        <v>ABS</v>
      </c>
      <c r="AW19" s="139"/>
      <c r="AX19" s="140"/>
      <c r="AY19" s="141"/>
      <c r="AZ19" s="138" t="str">
        <f t="shared" si="24"/>
        <v>ABS</v>
      </c>
      <c r="BA19" s="141"/>
      <c r="BB19" s="138" t="str">
        <f t="shared" si="25"/>
        <v>ABS</v>
      </c>
      <c r="BC19" s="193" t="str">
        <f t="shared" si="26"/>
        <v>ABS</v>
      </c>
      <c r="BD19" s="188" t="str">
        <f t="shared" si="27"/>
        <v>ABS</v>
      </c>
    </row>
    <row r="20" spans="2:56" s="64" customFormat="1" ht="15.5">
      <c r="B20" s="194">
        <v>16</v>
      </c>
      <c r="C20" s="122"/>
      <c r="D20" s="147"/>
      <c r="E20" s="127"/>
      <c r="F20" s="127"/>
      <c r="G20" s="137" t="s">
        <v>23</v>
      </c>
      <c r="H20" s="117"/>
      <c r="I20" s="138" t="str">
        <f t="shared" si="0"/>
        <v>ABS</v>
      </c>
      <c r="J20" s="117"/>
      <c r="K20" s="138" t="str">
        <f t="shared" si="1"/>
        <v>ABS</v>
      </c>
      <c r="L20" s="192" t="str">
        <f t="shared" si="2"/>
        <v>ABS</v>
      </c>
      <c r="M20" s="154" t="str">
        <f t="shared" si="3"/>
        <v>ABS</v>
      </c>
      <c r="N20" s="137" t="s">
        <v>30</v>
      </c>
      <c r="O20" s="117"/>
      <c r="P20" s="138" t="str">
        <f t="shared" si="4"/>
        <v>ABS</v>
      </c>
      <c r="Q20" s="117"/>
      <c r="R20" s="138" t="str">
        <f t="shared" si="5"/>
        <v>ABS</v>
      </c>
      <c r="S20" s="193" t="str">
        <f t="shared" si="6"/>
        <v>ABS</v>
      </c>
      <c r="T20" s="154" t="str">
        <f t="shared" si="7"/>
        <v>ABS</v>
      </c>
      <c r="U20" s="137" t="s">
        <v>32</v>
      </c>
      <c r="V20" s="117"/>
      <c r="W20" s="138" t="str">
        <f t="shared" si="8"/>
        <v>ABS</v>
      </c>
      <c r="X20" s="117"/>
      <c r="Y20" s="138" t="str">
        <f t="shared" si="9"/>
        <v>ABS</v>
      </c>
      <c r="Z20" s="193" t="str">
        <f t="shared" si="10"/>
        <v>ABS</v>
      </c>
      <c r="AA20" s="154" t="str">
        <f t="shared" si="11"/>
        <v>ABS</v>
      </c>
      <c r="AB20" s="120"/>
      <c r="AC20" s="117"/>
      <c r="AD20" s="138" t="str">
        <f t="shared" si="12"/>
        <v>ABS</v>
      </c>
      <c r="AE20" s="117"/>
      <c r="AF20" s="138" t="str">
        <f t="shared" si="13"/>
        <v>ABS</v>
      </c>
      <c r="AG20" s="193" t="str">
        <f t="shared" si="14"/>
        <v>ABS</v>
      </c>
      <c r="AH20" s="154" t="str">
        <f t="shared" si="15"/>
        <v>ABS</v>
      </c>
      <c r="AI20" s="119"/>
      <c r="AJ20" s="117"/>
      <c r="AK20" s="138" t="str">
        <f t="shared" si="16"/>
        <v>ABS</v>
      </c>
      <c r="AL20" s="117"/>
      <c r="AM20" s="138" t="str">
        <f t="shared" si="17"/>
        <v>ABS</v>
      </c>
      <c r="AN20" s="193" t="str">
        <f t="shared" si="18"/>
        <v>ABS</v>
      </c>
      <c r="AO20" s="154" t="str">
        <f t="shared" si="19"/>
        <v>ABS</v>
      </c>
      <c r="AP20" s="120"/>
      <c r="AQ20" s="117"/>
      <c r="AR20" s="138" t="str">
        <f t="shared" si="20"/>
        <v>ABS</v>
      </c>
      <c r="AS20" s="117"/>
      <c r="AT20" s="138" t="str">
        <f t="shared" si="21"/>
        <v>ABS</v>
      </c>
      <c r="AU20" s="193" t="str">
        <f t="shared" si="22"/>
        <v>ABS</v>
      </c>
      <c r="AV20" s="154" t="str">
        <f t="shared" si="23"/>
        <v>ABS</v>
      </c>
      <c r="AW20" s="139"/>
      <c r="AX20" s="140"/>
      <c r="AY20" s="141"/>
      <c r="AZ20" s="138" t="str">
        <f t="shared" si="24"/>
        <v>ABS</v>
      </c>
      <c r="BA20" s="141"/>
      <c r="BB20" s="138" t="str">
        <f t="shared" si="25"/>
        <v>ABS</v>
      </c>
      <c r="BC20" s="193" t="str">
        <f t="shared" si="26"/>
        <v>ABS</v>
      </c>
      <c r="BD20" s="188" t="str">
        <f t="shared" si="27"/>
        <v>ABS</v>
      </c>
    </row>
    <row r="21" spans="2:56" s="115" customFormat="1" ht="15.5">
      <c r="B21" s="194">
        <v>17</v>
      </c>
      <c r="C21" s="123"/>
      <c r="D21" s="147"/>
      <c r="E21" s="127"/>
      <c r="F21" s="127"/>
      <c r="G21" s="137" t="s">
        <v>23</v>
      </c>
      <c r="H21" s="117"/>
      <c r="I21" s="138" t="str">
        <f t="shared" si="0"/>
        <v>ABS</v>
      </c>
      <c r="J21" s="117"/>
      <c r="K21" s="138" t="str">
        <f t="shared" si="1"/>
        <v>ABS</v>
      </c>
      <c r="L21" s="192" t="str">
        <f t="shared" si="2"/>
        <v>ABS</v>
      </c>
      <c r="M21" s="154" t="str">
        <f t="shared" si="3"/>
        <v>ABS</v>
      </c>
      <c r="N21" s="137" t="s">
        <v>30</v>
      </c>
      <c r="O21" s="117"/>
      <c r="P21" s="138" t="str">
        <f t="shared" si="4"/>
        <v>ABS</v>
      </c>
      <c r="Q21" s="117"/>
      <c r="R21" s="138" t="str">
        <f t="shared" si="5"/>
        <v>ABS</v>
      </c>
      <c r="S21" s="193" t="str">
        <f t="shared" si="6"/>
        <v>ABS</v>
      </c>
      <c r="T21" s="154" t="str">
        <f t="shared" si="7"/>
        <v>ABS</v>
      </c>
      <c r="U21" s="137" t="s">
        <v>32</v>
      </c>
      <c r="V21" s="117"/>
      <c r="W21" s="138" t="str">
        <f t="shared" si="8"/>
        <v>ABS</v>
      </c>
      <c r="X21" s="117"/>
      <c r="Y21" s="138" t="str">
        <f t="shared" si="9"/>
        <v>ABS</v>
      </c>
      <c r="Z21" s="193" t="str">
        <f t="shared" si="10"/>
        <v>ABS</v>
      </c>
      <c r="AA21" s="154" t="str">
        <f t="shared" si="11"/>
        <v>ABS</v>
      </c>
      <c r="AB21" s="120"/>
      <c r="AC21" s="117"/>
      <c r="AD21" s="138" t="str">
        <f t="shared" si="12"/>
        <v>ABS</v>
      </c>
      <c r="AE21" s="117"/>
      <c r="AF21" s="138" t="str">
        <f t="shared" si="13"/>
        <v>ABS</v>
      </c>
      <c r="AG21" s="193" t="str">
        <f t="shared" si="14"/>
        <v>ABS</v>
      </c>
      <c r="AH21" s="154" t="str">
        <f t="shared" si="15"/>
        <v>ABS</v>
      </c>
      <c r="AI21" s="119"/>
      <c r="AJ21" s="117"/>
      <c r="AK21" s="138" t="str">
        <f t="shared" si="16"/>
        <v>ABS</v>
      </c>
      <c r="AL21" s="117"/>
      <c r="AM21" s="138" t="str">
        <f t="shared" si="17"/>
        <v>ABS</v>
      </c>
      <c r="AN21" s="193" t="str">
        <f t="shared" si="18"/>
        <v>ABS</v>
      </c>
      <c r="AO21" s="154" t="str">
        <f t="shared" si="19"/>
        <v>ABS</v>
      </c>
      <c r="AP21" s="120"/>
      <c r="AQ21" s="117"/>
      <c r="AR21" s="138" t="str">
        <f t="shared" si="20"/>
        <v>ABS</v>
      </c>
      <c r="AS21" s="117"/>
      <c r="AT21" s="138" t="str">
        <f t="shared" si="21"/>
        <v>ABS</v>
      </c>
      <c r="AU21" s="193" t="str">
        <f t="shared" si="22"/>
        <v>ABS</v>
      </c>
      <c r="AV21" s="154" t="str">
        <f t="shared" si="23"/>
        <v>ABS</v>
      </c>
      <c r="AW21" s="142"/>
      <c r="AX21" s="143"/>
      <c r="AY21" s="142"/>
      <c r="AZ21" s="138" t="str">
        <f t="shared" si="24"/>
        <v>ABS</v>
      </c>
      <c r="BA21" s="142"/>
      <c r="BB21" s="138" t="str">
        <f t="shared" si="25"/>
        <v>ABS</v>
      </c>
      <c r="BC21" s="193" t="str">
        <f t="shared" si="26"/>
        <v>ABS</v>
      </c>
      <c r="BD21" s="188" t="str">
        <f t="shared" si="27"/>
        <v>ABS</v>
      </c>
    </row>
    <row r="22" spans="2:56" s="115" customFormat="1" ht="15.5">
      <c r="B22" s="194">
        <v>18</v>
      </c>
      <c r="C22" s="123"/>
      <c r="D22" s="147"/>
      <c r="E22" s="127"/>
      <c r="F22" s="127"/>
      <c r="G22" s="137" t="s">
        <v>23</v>
      </c>
      <c r="H22" s="117"/>
      <c r="I22" s="138" t="str">
        <f t="shared" si="0"/>
        <v>ABS</v>
      </c>
      <c r="J22" s="117"/>
      <c r="K22" s="138" t="str">
        <f t="shared" si="1"/>
        <v>ABS</v>
      </c>
      <c r="L22" s="192" t="str">
        <f t="shared" si="2"/>
        <v>ABS</v>
      </c>
      <c r="M22" s="154" t="str">
        <f t="shared" si="3"/>
        <v>ABS</v>
      </c>
      <c r="N22" s="137" t="s">
        <v>30</v>
      </c>
      <c r="O22" s="117"/>
      <c r="P22" s="138" t="str">
        <f t="shared" si="4"/>
        <v>ABS</v>
      </c>
      <c r="Q22" s="117"/>
      <c r="R22" s="138" t="str">
        <f t="shared" si="5"/>
        <v>ABS</v>
      </c>
      <c r="S22" s="193" t="str">
        <f t="shared" si="6"/>
        <v>ABS</v>
      </c>
      <c r="T22" s="154" t="str">
        <f t="shared" si="7"/>
        <v>ABS</v>
      </c>
      <c r="U22" s="137" t="s">
        <v>32</v>
      </c>
      <c r="V22" s="117"/>
      <c r="W22" s="138" t="str">
        <f t="shared" si="8"/>
        <v>ABS</v>
      </c>
      <c r="X22" s="117"/>
      <c r="Y22" s="138" t="str">
        <f t="shared" si="9"/>
        <v>ABS</v>
      </c>
      <c r="Z22" s="193" t="str">
        <f t="shared" si="10"/>
        <v>ABS</v>
      </c>
      <c r="AA22" s="154" t="str">
        <f t="shared" si="11"/>
        <v>ABS</v>
      </c>
      <c r="AB22" s="120"/>
      <c r="AC22" s="117"/>
      <c r="AD22" s="138" t="str">
        <f t="shared" si="12"/>
        <v>ABS</v>
      </c>
      <c r="AE22" s="117"/>
      <c r="AF22" s="138" t="str">
        <f t="shared" si="13"/>
        <v>ABS</v>
      </c>
      <c r="AG22" s="193" t="str">
        <f t="shared" si="14"/>
        <v>ABS</v>
      </c>
      <c r="AH22" s="154" t="str">
        <f t="shared" si="15"/>
        <v>ABS</v>
      </c>
      <c r="AI22" s="119"/>
      <c r="AJ22" s="117"/>
      <c r="AK22" s="138" t="str">
        <f t="shared" si="16"/>
        <v>ABS</v>
      </c>
      <c r="AL22" s="117"/>
      <c r="AM22" s="138" t="str">
        <f t="shared" si="17"/>
        <v>ABS</v>
      </c>
      <c r="AN22" s="193" t="str">
        <f t="shared" si="18"/>
        <v>ABS</v>
      </c>
      <c r="AO22" s="154" t="str">
        <f t="shared" si="19"/>
        <v>ABS</v>
      </c>
      <c r="AP22" s="120"/>
      <c r="AQ22" s="117"/>
      <c r="AR22" s="138" t="str">
        <f t="shared" si="20"/>
        <v>ABS</v>
      </c>
      <c r="AS22" s="117"/>
      <c r="AT22" s="138" t="str">
        <f t="shared" si="21"/>
        <v>ABS</v>
      </c>
      <c r="AU22" s="193" t="str">
        <f t="shared" si="22"/>
        <v>ABS</v>
      </c>
      <c r="AV22" s="154" t="str">
        <f t="shared" si="23"/>
        <v>ABS</v>
      </c>
      <c r="AW22" s="139"/>
      <c r="AX22" s="140"/>
      <c r="AY22" s="141"/>
      <c r="AZ22" s="138" t="str">
        <f t="shared" si="24"/>
        <v>ABS</v>
      </c>
      <c r="BA22" s="141"/>
      <c r="BB22" s="138" t="str">
        <f t="shared" si="25"/>
        <v>ABS</v>
      </c>
      <c r="BC22" s="193" t="str">
        <f t="shared" si="26"/>
        <v>ABS</v>
      </c>
      <c r="BD22" s="188" t="str">
        <f t="shared" si="27"/>
        <v>ABS</v>
      </c>
    </row>
    <row r="23" spans="2:56" s="115" customFormat="1" ht="15.5">
      <c r="B23" s="194">
        <v>19</v>
      </c>
      <c r="C23" s="123"/>
      <c r="D23" s="147"/>
      <c r="E23" s="127"/>
      <c r="F23" s="127"/>
      <c r="G23" s="137" t="s">
        <v>23</v>
      </c>
      <c r="H23" s="117"/>
      <c r="I23" s="138" t="str">
        <f t="shared" si="0"/>
        <v>ABS</v>
      </c>
      <c r="J23" s="117"/>
      <c r="K23" s="138" t="str">
        <f t="shared" si="1"/>
        <v>ABS</v>
      </c>
      <c r="L23" s="192" t="str">
        <f t="shared" si="2"/>
        <v>ABS</v>
      </c>
      <c r="M23" s="154" t="str">
        <f t="shared" si="3"/>
        <v>ABS</v>
      </c>
      <c r="N23" s="137" t="s">
        <v>30</v>
      </c>
      <c r="O23" s="117"/>
      <c r="P23" s="138" t="str">
        <f t="shared" si="4"/>
        <v>ABS</v>
      </c>
      <c r="Q23" s="117"/>
      <c r="R23" s="138" t="str">
        <f t="shared" si="5"/>
        <v>ABS</v>
      </c>
      <c r="S23" s="193" t="str">
        <f t="shared" si="6"/>
        <v>ABS</v>
      </c>
      <c r="T23" s="154" t="str">
        <f t="shared" si="7"/>
        <v>ABS</v>
      </c>
      <c r="U23" s="137" t="s">
        <v>32</v>
      </c>
      <c r="V23" s="117"/>
      <c r="W23" s="138" t="str">
        <f t="shared" si="8"/>
        <v>ABS</v>
      </c>
      <c r="X23" s="117"/>
      <c r="Y23" s="138" t="str">
        <f t="shared" si="9"/>
        <v>ABS</v>
      </c>
      <c r="Z23" s="193" t="str">
        <f t="shared" si="10"/>
        <v>ABS</v>
      </c>
      <c r="AA23" s="154" t="str">
        <f t="shared" si="11"/>
        <v>ABS</v>
      </c>
      <c r="AB23" s="120"/>
      <c r="AC23" s="117"/>
      <c r="AD23" s="138" t="str">
        <f t="shared" si="12"/>
        <v>ABS</v>
      </c>
      <c r="AE23" s="117"/>
      <c r="AF23" s="138" t="str">
        <f t="shared" si="13"/>
        <v>ABS</v>
      </c>
      <c r="AG23" s="193" t="str">
        <f t="shared" si="14"/>
        <v>ABS</v>
      </c>
      <c r="AH23" s="154" t="str">
        <f t="shared" si="15"/>
        <v>ABS</v>
      </c>
      <c r="AI23" s="119"/>
      <c r="AJ23" s="117"/>
      <c r="AK23" s="138" t="str">
        <f t="shared" si="16"/>
        <v>ABS</v>
      </c>
      <c r="AL23" s="117"/>
      <c r="AM23" s="138" t="str">
        <f t="shared" si="17"/>
        <v>ABS</v>
      </c>
      <c r="AN23" s="193" t="str">
        <f t="shared" si="18"/>
        <v>ABS</v>
      </c>
      <c r="AO23" s="154" t="str">
        <f t="shared" si="19"/>
        <v>ABS</v>
      </c>
      <c r="AP23" s="120"/>
      <c r="AQ23" s="117"/>
      <c r="AR23" s="138" t="str">
        <f t="shared" si="20"/>
        <v>ABS</v>
      </c>
      <c r="AS23" s="117"/>
      <c r="AT23" s="138" t="str">
        <f t="shared" si="21"/>
        <v>ABS</v>
      </c>
      <c r="AU23" s="193" t="str">
        <f t="shared" si="22"/>
        <v>ABS</v>
      </c>
      <c r="AV23" s="154" t="str">
        <f t="shared" si="23"/>
        <v>ABS</v>
      </c>
      <c r="AW23" s="142"/>
      <c r="AX23" s="143"/>
      <c r="AY23" s="142"/>
      <c r="AZ23" s="138" t="str">
        <f t="shared" si="24"/>
        <v>ABS</v>
      </c>
      <c r="BA23" s="142"/>
      <c r="BB23" s="138" t="str">
        <f t="shared" si="25"/>
        <v>ABS</v>
      </c>
      <c r="BC23" s="193" t="str">
        <f t="shared" si="26"/>
        <v>ABS</v>
      </c>
      <c r="BD23" s="188" t="str">
        <f t="shared" si="27"/>
        <v>ABS</v>
      </c>
    </row>
    <row r="24" spans="2:56" s="115" customFormat="1" ht="15.5">
      <c r="B24" s="194">
        <v>20</v>
      </c>
      <c r="C24" s="123"/>
      <c r="D24" s="147"/>
      <c r="E24" s="127"/>
      <c r="F24" s="127"/>
      <c r="G24" s="137" t="s">
        <v>23</v>
      </c>
      <c r="H24" s="117"/>
      <c r="I24" s="138" t="str">
        <f t="shared" si="0"/>
        <v>ABS</v>
      </c>
      <c r="J24" s="117"/>
      <c r="K24" s="138" t="str">
        <f t="shared" si="1"/>
        <v>ABS</v>
      </c>
      <c r="L24" s="192" t="str">
        <f t="shared" si="2"/>
        <v>ABS</v>
      </c>
      <c r="M24" s="154" t="str">
        <f t="shared" si="3"/>
        <v>ABS</v>
      </c>
      <c r="N24" s="137" t="s">
        <v>30</v>
      </c>
      <c r="O24" s="117"/>
      <c r="P24" s="138" t="str">
        <f t="shared" si="4"/>
        <v>ABS</v>
      </c>
      <c r="Q24" s="117"/>
      <c r="R24" s="138" t="str">
        <f t="shared" si="5"/>
        <v>ABS</v>
      </c>
      <c r="S24" s="193" t="str">
        <f t="shared" si="6"/>
        <v>ABS</v>
      </c>
      <c r="T24" s="154" t="str">
        <f t="shared" si="7"/>
        <v>ABS</v>
      </c>
      <c r="U24" s="137" t="s">
        <v>32</v>
      </c>
      <c r="V24" s="117"/>
      <c r="W24" s="138" t="str">
        <f t="shared" si="8"/>
        <v>ABS</v>
      </c>
      <c r="X24" s="117"/>
      <c r="Y24" s="138" t="str">
        <f t="shared" si="9"/>
        <v>ABS</v>
      </c>
      <c r="Z24" s="193" t="str">
        <f t="shared" si="10"/>
        <v>ABS</v>
      </c>
      <c r="AA24" s="154" t="str">
        <f t="shared" si="11"/>
        <v>ABS</v>
      </c>
      <c r="AB24" s="120"/>
      <c r="AC24" s="117"/>
      <c r="AD24" s="138" t="str">
        <f t="shared" si="12"/>
        <v>ABS</v>
      </c>
      <c r="AE24" s="117"/>
      <c r="AF24" s="138" t="str">
        <f t="shared" si="13"/>
        <v>ABS</v>
      </c>
      <c r="AG24" s="193" t="str">
        <f t="shared" si="14"/>
        <v>ABS</v>
      </c>
      <c r="AH24" s="154" t="str">
        <f t="shared" si="15"/>
        <v>ABS</v>
      </c>
      <c r="AI24" s="119"/>
      <c r="AJ24" s="117"/>
      <c r="AK24" s="138" t="str">
        <f t="shared" si="16"/>
        <v>ABS</v>
      </c>
      <c r="AL24" s="117"/>
      <c r="AM24" s="138" t="str">
        <f t="shared" si="17"/>
        <v>ABS</v>
      </c>
      <c r="AN24" s="193" t="str">
        <f t="shared" si="18"/>
        <v>ABS</v>
      </c>
      <c r="AO24" s="154" t="str">
        <f t="shared" si="19"/>
        <v>ABS</v>
      </c>
      <c r="AP24" s="120"/>
      <c r="AQ24" s="117"/>
      <c r="AR24" s="138" t="str">
        <f t="shared" si="20"/>
        <v>ABS</v>
      </c>
      <c r="AS24" s="117"/>
      <c r="AT24" s="138" t="str">
        <f t="shared" si="21"/>
        <v>ABS</v>
      </c>
      <c r="AU24" s="193" t="str">
        <f t="shared" si="22"/>
        <v>ABS</v>
      </c>
      <c r="AV24" s="154" t="str">
        <f t="shared" si="23"/>
        <v>ABS</v>
      </c>
      <c r="AW24" s="139"/>
      <c r="AX24" s="140"/>
      <c r="AY24" s="141"/>
      <c r="AZ24" s="138" t="str">
        <f t="shared" si="24"/>
        <v>ABS</v>
      </c>
      <c r="BA24" s="141"/>
      <c r="BB24" s="138" t="str">
        <f t="shared" si="25"/>
        <v>ABS</v>
      </c>
      <c r="BC24" s="193" t="str">
        <f t="shared" si="26"/>
        <v>ABS</v>
      </c>
      <c r="BD24" s="188" t="str">
        <f t="shared" si="27"/>
        <v>ABS</v>
      </c>
    </row>
    <row r="25" spans="2:56" s="115" customFormat="1" ht="15.5">
      <c r="B25" s="194">
        <v>21</v>
      </c>
      <c r="C25" s="123"/>
      <c r="D25" s="147"/>
      <c r="E25" s="127"/>
      <c r="F25" s="127"/>
      <c r="G25" s="137" t="s">
        <v>23</v>
      </c>
      <c r="H25" s="117"/>
      <c r="I25" s="138" t="str">
        <f t="shared" si="0"/>
        <v>ABS</v>
      </c>
      <c r="J25" s="117"/>
      <c r="K25" s="138" t="str">
        <f t="shared" si="1"/>
        <v>ABS</v>
      </c>
      <c r="L25" s="192" t="str">
        <f t="shared" si="2"/>
        <v>ABS</v>
      </c>
      <c r="M25" s="154" t="str">
        <f t="shared" si="3"/>
        <v>ABS</v>
      </c>
      <c r="N25" s="137" t="s">
        <v>30</v>
      </c>
      <c r="O25" s="117"/>
      <c r="P25" s="138" t="str">
        <f t="shared" si="4"/>
        <v>ABS</v>
      </c>
      <c r="Q25" s="117"/>
      <c r="R25" s="138" t="str">
        <f t="shared" si="5"/>
        <v>ABS</v>
      </c>
      <c r="S25" s="193" t="str">
        <f t="shared" si="6"/>
        <v>ABS</v>
      </c>
      <c r="T25" s="154" t="str">
        <f t="shared" si="7"/>
        <v>ABS</v>
      </c>
      <c r="U25" s="137" t="s">
        <v>32</v>
      </c>
      <c r="V25" s="117"/>
      <c r="W25" s="138" t="str">
        <f t="shared" si="8"/>
        <v>ABS</v>
      </c>
      <c r="X25" s="117"/>
      <c r="Y25" s="138" t="str">
        <f t="shared" si="9"/>
        <v>ABS</v>
      </c>
      <c r="Z25" s="193" t="str">
        <f t="shared" si="10"/>
        <v>ABS</v>
      </c>
      <c r="AA25" s="154" t="str">
        <f t="shared" si="11"/>
        <v>ABS</v>
      </c>
      <c r="AB25" s="120"/>
      <c r="AC25" s="117"/>
      <c r="AD25" s="138" t="str">
        <f t="shared" si="12"/>
        <v>ABS</v>
      </c>
      <c r="AE25" s="117"/>
      <c r="AF25" s="138" t="str">
        <f t="shared" si="13"/>
        <v>ABS</v>
      </c>
      <c r="AG25" s="193" t="str">
        <f t="shared" si="14"/>
        <v>ABS</v>
      </c>
      <c r="AH25" s="154" t="str">
        <f t="shared" si="15"/>
        <v>ABS</v>
      </c>
      <c r="AI25" s="119"/>
      <c r="AJ25" s="117"/>
      <c r="AK25" s="138" t="str">
        <f t="shared" si="16"/>
        <v>ABS</v>
      </c>
      <c r="AL25" s="117"/>
      <c r="AM25" s="138" t="str">
        <f t="shared" si="17"/>
        <v>ABS</v>
      </c>
      <c r="AN25" s="193" t="str">
        <f t="shared" si="18"/>
        <v>ABS</v>
      </c>
      <c r="AO25" s="154" t="str">
        <f t="shared" si="19"/>
        <v>ABS</v>
      </c>
      <c r="AP25" s="120"/>
      <c r="AQ25" s="117"/>
      <c r="AR25" s="138" t="str">
        <f t="shared" si="20"/>
        <v>ABS</v>
      </c>
      <c r="AS25" s="117"/>
      <c r="AT25" s="138" t="str">
        <f t="shared" si="21"/>
        <v>ABS</v>
      </c>
      <c r="AU25" s="193" t="str">
        <f t="shared" si="22"/>
        <v>ABS</v>
      </c>
      <c r="AV25" s="154" t="str">
        <f t="shared" si="23"/>
        <v>ABS</v>
      </c>
      <c r="AW25" s="142"/>
      <c r="AX25" s="143"/>
      <c r="AY25" s="142"/>
      <c r="AZ25" s="138" t="str">
        <f t="shared" si="24"/>
        <v>ABS</v>
      </c>
      <c r="BA25" s="142"/>
      <c r="BB25" s="138" t="str">
        <f t="shared" si="25"/>
        <v>ABS</v>
      </c>
      <c r="BC25" s="193" t="str">
        <f t="shared" si="26"/>
        <v>ABS</v>
      </c>
      <c r="BD25" s="188" t="str">
        <f t="shared" si="27"/>
        <v>ABS</v>
      </c>
    </row>
    <row r="26" spans="2:56" s="115" customFormat="1" ht="15.5">
      <c r="B26" s="194">
        <v>22</v>
      </c>
      <c r="C26" s="123"/>
      <c r="D26" s="147"/>
      <c r="E26" s="127"/>
      <c r="F26" s="127"/>
      <c r="G26" s="137" t="s">
        <v>23</v>
      </c>
      <c r="H26" s="117"/>
      <c r="I26" s="138" t="str">
        <f t="shared" si="0"/>
        <v>ABS</v>
      </c>
      <c r="J26" s="117"/>
      <c r="K26" s="138" t="str">
        <f t="shared" si="1"/>
        <v>ABS</v>
      </c>
      <c r="L26" s="192" t="str">
        <f t="shared" si="2"/>
        <v>ABS</v>
      </c>
      <c r="M26" s="154" t="str">
        <f t="shared" si="3"/>
        <v>ABS</v>
      </c>
      <c r="N26" s="137" t="s">
        <v>30</v>
      </c>
      <c r="O26" s="117"/>
      <c r="P26" s="138" t="str">
        <f t="shared" si="4"/>
        <v>ABS</v>
      </c>
      <c r="Q26" s="117"/>
      <c r="R26" s="138" t="str">
        <f t="shared" si="5"/>
        <v>ABS</v>
      </c>
      <c r="S26" s="193" t="str">
        <f t="shared" si="6"/>
        <v>ABS</v>
      </c>
      <c r="T26" s="154" t="str">
        <f t="shared" si="7"/>
        <v>ABS</v>
      </c>
      <c r="U26" s="137" t="s">
        <v>32</v>
      </c>
      <c r="V26" s="117"/>
      <c r="W26" s="138" t="str">
        <f t="shared" si="8"/>
        <v>ABS</v>
      </c>
      <c r="X26" s="117"/>
      <c r="Y26" s="138" t="str">
        <f t="shared" si="9"/>
        <v>ABS</v>
      </c>
      <c r="Z26" s="193" t="str">
        <f t="shared" si="10"/>
        <v>ABS</v>
      </c>
      <c r="AA26" s="154" t="str">
        <f t="shared" si="11"/>
        <v>ABS</v>
      </c>
      <c r="AB26" s="120"/>
      <c r="AC26" s="117"/>
      <c r="AD26" s="138" t="str">
        <f t="shared" si="12"/>
        <v>ABS</v>
      </c>
      <c r="AE26" s="117"/>
      <c r="AF26" s="138" t="str">
        <f t="shared" si="13"/>
        <v>ABS</v>
      </c>
      <c r="AG26" s="193" t="str">
        <f t="shared" si="14"/>
        <v>ABS</v>
      </c>
      <c r="AH26" s="154" t="str">
        <f t="shared" si="15"/>
        <v>ABS</v>
      </c>
      <c r="AI26" s="119"/>
      <c r="AJ26" s="117"/>
      <c r="AK26" s="138" t="str">
        <f t="shared" si="16"/>
        <v>ABS</v>
      </c>
      <c r="AL26" s="117"/>
      <c r="AM26" s="138" t="str">
        <f t="shared" si="17"/>
        <v>ABS</v>
      </c>
      <c r="AN26" s="193" t="str">
        <f t="shared" si="18"/>
        <v>ABS</v>
      </c>
      <c r="AO26" s="154" t="str">
        <f t="shared" si="19"/>
        <v>ABS</v>
      </c>
      <c r="AP26" s="120"/>
      <c r="AQ26" s="117"/>
      <c r="AR26" s="138" t="str">
        <f t="shared" si="20"/>
        <v>ABS</v>
      </c>
      <c r="AS26" s="117"/>
      <c r="AT26" s="138" t="str">
        <f t="shared" si="21"/>
        <v>ABS</v>
      </c>
      <c r="AU26" s="193" t="str">
        <f t="shared" si="22"/>
        <v>ABS</v>
      </c>
      <c r="AV26" s="154" t="str">
        <f t="shared" si="23"/>
        <v>ABS</v>
      </c>
      <c r="AW26" s="139"/>
      <c r="AX26" s="140"/>
      <c r="AY26" s="141"/>
      <c r="AZ26" s="138" t="str">
        <f t="shared" si="24"/>
        <v>ABS</v>
      </c>
      <c r="BA26" s="141"/>
      <c r="BB26" s="138" t="str">
        <f t="shared" si="25"/>
        <v>ABS</v>
      </c>
      <c r="BC26" s="193" t="str">
        <f t="shared" si="26"/>
        <v>ABS</v>
      </c>
      <c r="BD26" s="188" t="str">
        <f t="shared" si="27"/>
        <v>ABS</v>
      </c>
    </row>
    <row r="27" spans="2:56" s="115" customFormat="1" ht="15.5">
      <c r="B27" s="194">
        <v>23</v>
      </c>
      <c r="C27" s="123"/>
      <c r="D27" s="147"/>
      <c r="E27" s="127"/>
      <c r="F27" s="127"/>
      <c r="G27" s="137" t="s">
        <v>23</v>
      </c>
      <c r="H27" s="117"/>
      <c r="I27" s="138" t="str">
        <f t="shared" si="0"/>
        <v>ABS</v>
      </c>
      <c r="J27" s="117"/>
      <c r="K27" s="138" t="str">
        <f t="shared" si="1"/>
        <v>ABS</v>
      </c>
      <c r="L27" s="192" t="str">
        <f t="shared" si="2"/>
        <v>ABS</v>
      </c>
      <c r="M27" s="154" t="str">
        <f t="shared" si="3"/>
        <v>ABS</v>
      </c>
      <c r="N27" s="137" t="s">
        <v>30</v>
      </c>
      <c r="O27" s="117"/>
      <c r="P27" s="138" t="str">
        <f t="shared" si="4"/>
        <v>ABS</v>
      </c>
      <c r="Q27" s="117"/>
      <c r="R27" s="138" t="str">
        <f t="shared" si="5"/>
        <v>ABS</v>
      </c>
      <c r="S27" s="193" t="str">
        <f t="shared" si="6"/>
        <v>ABS</v>
      </c>
      <c r="T27" s="154" t="str">
        <f t="shared" si="7"/>
        <v>ABS</v>
      </c>
      <c r="U27" s="137" t="s">
        <v>32</v>
      </c>
      <c r="V27" s="117"/>
      <c r="W27" s="138" t="str">
        <f t="shared" si="8"/>
        <v>ABS</v>
      </c>
      <c r="X27" s="117"/>
      <c r="Y27" s="138" t="str">
        <f t="shared" si="9"/>
        <v>ABS</v>
      </c>
      <c r="Z27" s="193" t="str">
        <f t="shared" si="10"/>
        <v>ABS</v>
      </c>
      <c r="AA27" s="154" t="str">
        <f t="shared" si="11"/>
        <v>ABS</v>
      </c>
      <c r="AB27" s="120"/>
      <c r="AC27" s="117"/>
      <c r="AD27" s="138" t="str">
        <f t="shared" si="12"/>
        <v>ABS</v>
      </c>
      <c r="AE27" s="117"/>
      <c r="AF27" s="138" t="str">
        <f t="shared" si="13"/>
        <v>ABS</v>
      </c>
      <c r="AG27" s="193" t="str">
        <f t="shared" si="14"/>
        <v>ABS</v>
      </c>
      <c r="AH27" s="154" t="str">
        <f t="shared" si="15"/>
        <v>ABS</v>
      </c>
      <c r="AI27" s="119"/>
      <c r="AJ27" s="117"/>
      <c r="AK27" s="138" t="str">
        <f t="shared" si="16"/>
        <v>ABS</v>
      </c>
      <c r="AL27" s="117"/>
      <c r="AM27" s="138" t="str">
        <f t="shared" si="17"/>
        <v>ABS</v>
      </c>
      <c r="AN27" s="193" t="str">
        <f t="shared" si="18"/>
        <v>ABS</v>
      </c>
      <c r="AO27" s="154" t="str">
        <f t="shared" si="19"/>
        <v>ABS</v>
      </c>
      <c r="AP27" s="120"/>
      <c r="AQ27" s="117"/>
      <c r="AR27" s="138" t="str">
        <f t="shared" si="20"/>
        <v>ABS</v>
      </c>
      <c r="AS27" s="117"/>
      <c r="AT27" s="138" t="str">
        <f t="shared" si="21"/>
        <v>ABS</v>
      </c>
      <c r="AU27" s="193" t="str">
        <f t="shared" si="22"/>
        <v>ABS</v>
      </c>
      <c r="AV27" s="154" t="str">
        <f t="shared" si="23"/>
        <v>ABS</v>
      </c>
      <c r="AW27" s="142"/>
      <c r="AX27" s="143"/>
      <c r="AY27" s="142"/>
      <c r="AZ27" s="138" t="str">
        <f t="shared" si="24"/>
        <v>ABS</v>
      </c>
      <c r="BA27" s="142"/>
      <c r="BB27" s="138" t="str">
        <f t="shared" si="25"/>
        <v>ABS</v>
      </c>
      <c r="BC27" s="193" t="str">
        <f t="shared" si="26"/>
        <v>ABS</v>
      </c>
      <c r="BD27" s="188" t="str">
        <f t="shared" si="27"/>
        <v>ABS</v>
      </c>
    </row>
    <row r="28" spans="2:56" s="115" customFormat="1" ht="15.5">
      <c r="B28" s="194">
        <v>24</v>
      </c>
      <c r="C28" s="123"/>
      <c r="D28" s="147"/>
      <c r="E28" s="127"/>
      <c r="F28" s="127"/>
      <c r="G28" s="137" t="s">
        <v>23</v>
      </c>
      <c r="H28" s="117"/>
      <c r="I28" s="138" t="str">
        <f t="shared" si="0"/>
        <v>ABS</v>
      </c>
      <c r="J28" s="117"/>
      <c r="K28" s="138" t="str">
        <f t="shared" si="1"/>
        <v>ABS</v>
      </c>
      <c r="L28" s="192" t="str">
        <f t="shared" si="2"/>
        <v>ABS</v>
      </c>
      <c r="M28" s="154" t="str">
        <f t="shared" si="3"/>
        <v>ABS</v>
      </c>
      <c r="N28" s="137" t="s">
        <v>30</v>
      </c>
      <c r="O28" s="117"/>
      <c r="P28" s="138" t="str">
        <f t="shared" si="4"/>
        <v>ABS</v>
      </c>
      <c r="Q28" s="117"/>
      <c r="R28" s="138" t="str">
        <f t="shared" si="5"/>
        <v>ABS</v>
      </c>
      <c r="S28" s="193" t="str">
        <f t="shared" si="6"/>
        <v>ABS</v>
      </c>
      <c r="T28" s="154" t="str">
        <f t="shared" si="7"/>
        <v>ABS</v>
      </c>
      <c r="U28" s="137" t="s">
        <v>32</v>
      </c>
      <c r="V28" s="117"/>
      <c r="W28" s="138" t="str">
        <f t="shared" si="8"/>
        <v>ABS</v>
      </c>
      <c r="X28" s="117"/>
      <c r="Y28" s="138" t="str">
        <f t="shared" si="9"/>
        <v>ABS</v>
      </c>
      <c r="Z28" s="193" t="str">
        <f t="shared" si="10"/>
        <v>ABS</v>
      </c>
      <c r="AA28" s="154" t="str">
        <f t="shared" si="11"/>
        <v>ABS</v>
      </c>
      <c r="AB28" s="120"/>
      <c r="AC28" s="117"/>
      <c r="AD28" s="138" t="str">
        <f t="shared" si="12"/>
        <v>ABS</v>
      </c>
      <c r="AE28" s="117"/>
      <c r="AF28" s="138" t="str">
        <f t="shared" si="13"/>
        <v>ABS</v>
      </c>
      <c r="AG28" s="193" t="str">
        <f t="shared" si="14"/>
        <v>ABS</v>
      </c>
      <c r="AH28" s="154" t="str">
        <f t="shared" si="15"/>
        <v>ABS</v>
      </c>
      <c r="AI28" s="119"/>
      <c r="AJ28" s="117"/>
      <c r="AK28" s="138" t="str">
        <f t="shared" si="16"/>
        <v>ABS</v>
      </c>
      <c r="AL28" s="117"/>
      <c r="AM28" s="138" t="str">
        <f t="shared" si="17"/>
        <v>ABS</v>
      </c>
      <c r="AN28" s="193" t="str">
        <f t="shared" si="18"/>
        <v>ABS</v>
      </c>
      <c r="AO28" s="154" t="str">
        <f t="shared" si="19"/>
        <v>ABS</v>
      </c>
      <c r="AP28" s="120"/>
      <c r="AQ28" s="117"/>
      <c r="AR28" s="138" t="str">
        <f t="shared" si="20"/>
        <v>ABS</v>
      </c>
      <c r="AS28" s="117"/>
      <c r="AT28" s="138" t="str">
        <f t="shared" si="21"/>
        <v>ABS</v>
      </c>
      <c r="AU28" s="193" t="str">
        <f t="shared" si="22"/>
        <v>ABS</v>
      </c>
      <c r="AV28" s="154" t="str">
        <f t="shared" si="23"/>
        <v>ABS</v>
      </c>
      <c r="AW28" s="139"/>
      <c r="AX28" s="140"/>
      <c r="AY28" s="141"/>
      <c r="AZ28" s="138" t="str">
        <f t="shared" si="24"/>
        <v>ABS</v>
      </c>
      <c r="BA28" s="141"/>
      <c r="BB28" s="138" t="str">
        <f t="shared" si="25"/>
        <v>ABS</v>
      </c>
      <c r="BC28" s="193" t="str">
        <f t="shared" si="26"/>
        <v>ABS</v>
      </c>
      <c r="BD28" s="188" t="str">
        <f t="shared" si="27"/>
        <v>ABS</v>
      </c>
    </row>
    <row r="29" spans="2:56" s="64" customFormat="1" ht="15.5">
      <c r="B29" s="194">
        <v>25</v>
      </c>
      <c r="C29" s="124"/>
      <c r="D29" s="147"/>
      <c r="E29" s="127"/>
      <c r="F29" s="127"/>
      <c r="G29" s="137" t="s">
        <v>23</v>
      </c>
      <c r="H29" s="117"/>
      <c r="I29" s="138" t="str">
        <f t="shared" si="0"/>
        <v>ABS</v>
      </c>
      <c r="J29" s="117"/>
      <c r="K29" s="138" t="str">
        <f t="shared" si="1"/>
        <v>ABS</v>
      </c>
      <c r="L29" s="192" t="str">
        <f t="shared" si="2"/>
        <v>ABS</v>
      </c>
      <c r="M29" s="154" t="str">
        <f t="shared" si="3"/>
        <v>ABS</v>
      </c>
      <c r="N29" s="137" t="s">
        <v>30</v>
      </c>
      <c r="O29" s="117"/>
      <c r="P29" s="138" t="str">
        <f t="shared" si="4"/>
        <v>ABS</v>
      </c>
      <c r="Q29" s="117"/>
      <c r="R29" s="138" t="str">
        <f t="shared" si="5"/>
        <v>ABS</v>
      </c>
      <c r="S29" s="193" t="str">
        <f t="shared" si="6"/>
        <v>ABS</v>
      </c>
      <c r="T29" s="154" t="str">
        <f t="shared" si="7"/>
        <v>ABS</v>
      </c>
      <c r="U29" s="137" t="s">
        <v>32</v>
      </c>
      <c r="V29" s="117"/>
      <c r="W29" s="138" t="str">
        <f t="shared" si="8"/>
        <v>ABS</v>
      </c>
      <c r="X29" s="117"/>
      <c r="Y29" s="138" t="str">
        <f t="shared" si="9"/>
        <v>ABS</v>
      </c>
      <c r="Z29" s="193" t="str">
        <f t="shared" si="10"/>
        <v>ABS</v>
      </c>
      <c r="AA29" s="154" t="str">
        <f t="shared" si="11"/>
        <v>ABS</v>
      </c>
      <c r="AB29" s="120"/>
      <c r="AC29" s="117"/>
      <c r="AD29" s="138" t="str">
        <f t="shared" si="12"/>
        <v>ABS</v>
      </c>
      <c r="AE29" s="117"/>
      <c r="AF29" s="138" t="str">
        <f t="shared" si="13"/>
        <v>ABS</v>
      </c>
      <c r="AG29" s="193" t="str">
        <f t="shared" si="14"/>
        <v>ABS</v>
      </c>
      <c r="AH29" s="154" t="str">
        <f t="shared" si="15"/>
        <v>ABS</v>
      </c>
      <c r="AI29" s="119"/>
      <c r="AJ29" s="117"/>
      <c r="AK29" s="138" t="str">
        <f t="shared" si="16"/>
        <v>ABS</v>
      </c>
      <c r="AL29" s="117"/>
      <c r="AM29" s="138" t="str">
        <f t="shared" si="17"/>
        <v>ABS</v>
      </c>
      <c r="AN29" s="193" t="str">
        <f t="shared" si="18"/>
        <v>ABS</v>
      </c>
      <c r="AO29" s="154" t="str">
        <f t="shared" si="19"/>
        <v>ABS</v>
      </c>
      <c r="AP29" s="120"/>
      <c r="AQ29" s="117"/>
      <c r="AR29" s="138" t="str">
        <f t="shared" si="20"/>
        <v>ABS</v>
      </c>
      <c r="AS29" s="117"/>
      <c r="AT29" s="138" t="str">
        <f t="shared" si="21"/>
        <v>ABS</v>
      </c>
      <c r="AU29" s="193" t="str">
        <f t="shared" si="22"/>
        <v>ABS</v>
      </c>
      <c r="AV29" s="154" t="str">
        <f t="shared" si="23"/>
        <v>ABS</v>
      </c>
      <c r="AW29" s="139"/>
      <c r="AX29" s="140"/>
      <c r="AY29" s="141"/>
      <c r="AZ29" s="138" t="str">
        <f t="shared" si="24"/>
        <v>ABS</v>
      </c>
      <c r="BA29" s="141"/>
      <c r="BB29" s="138" t="str">
        <f t="shared" si="25"/>
        <v>ABS</v>
      </c>
      <c r="BC29" s="193" t="str">
        <f t="shared" si="26"/>
        <v>ABS</v>
      </c>
      <c r="BD29" s="188" t="str">
        <f t="shared" si="27"/>
        <v>ABS</v>
      </c>
    </row>
    <row r="30" spans="2:56" s="64" customFormat="1" ht="15.5">
      <c r="B30" s="194">
        <v>26</v>
      </c>
      <c r="C30" s="124"/>
      <c r="D30" s="147"/>
      <c r="E30" s="127"/>
      <c r="F30" s="127"/>
      <c r="G30" s="137" t="s">
        <v>23</v>
      </c>
      <c r="H30" s="117"/>
      <c r="I30" s="138" t="str">
        <f t="shared" si="0"/>
        <v>ABS</v>
      </c>
      <c r="J30" s="117"/>
      <c r="K30" s="138" t="str">
        <f t="shared" si="1"/>
        <v>ABS</v>
      </c>
      <c r="L30" s="192" t="str">
        <f t="shared" si="2"/>
        <v>ABS</v>
      </c>
      <c r="M30" s="154" t="str">
        <f t="shared" si="3"/>
        <v>ABS</v>
      </c>
      <c r="N30" s="137" t="s">
        <v>30</v>
      </c>
      <c r="O30" s="117"/>
      <c r="P30" s="138" t="str">
        <f t="shared" si="4"/>
        <v>ABS</v>
      </c>
      <c r="Q30" s="117"/>
      <c r="R30" s="138" t="str">
        <f t="shared" si="5"/>
        <v>ABS</v>
      </c>
      <c r="S30" s="193" t="str">
        <f t="shared" si="6"/>
        <v>ABS</v>
      </c>
      <c r="T30" s="154" t="str">
        <f t="shared" si="7"/>
        <v>ABS</v>
      </c>
      <c r="U30" s="137" t="s">
        <v>32</v>
      </c>
      <c r="V30" s="117"/>
      <c r="W30" s="138" t="str">
        <f t="shared" si="8"/>
        <v>ABS</v>
      </c>
      <c r="X30" s="117"/>
      <c r="Y30" s="138" t="str">
        <f t="shared" si="9"/>
        <v>ABS</v>
      </c>
      <c r="Z30" s="193" t="str">
        <f t="shared" si="10"/>
        <v>ABS</v>
      </c>
      <c r="AA30" s="154" t="str">
        <f t="shared" si="11"/>
        <v>ABS</v>
      </c>
      <c r="AB30" s="120"/>
      <c r="AC30" s="117"/>
      <c r="AD30" s="138" t="str">
        <f t="shared" si="12"/>
        <v>ABS</v>
      </c>
      <c r="AE30" s="117"/>
      <c r="AF30" s="138" t="str">
        <f t="shared" si="13"/>
        <v>ABS</v>
      </c>
      <c r="AG30" s="193" t="str">
        <f t="shared" si="14"/>
        <v>ABS</v>
      </c>
      <c r="AH30" s="154" t="str">
        <f t="shared" si="15"/>
        <v>ABS</v>
      </c>
      <c r="AI30" s="119"/>
      <c r="AJ30" s="117"/>
      <c r="AK30" s="138" t="str">
        <f t="shared" si="16"/>
        <v>ABS</v>
      </c>
      <c r="AL30" s="117"/>
      <c r="AM30" s="138" t="str">
        <f t="shared" si="17"/>
        <v>ABS</v>
      </c>
      <c r="AN30" s="193" t="str">
        <f t="shared" si="18"/>
        <v>ABS</v>
      </c>
      <c r="AO30" s="154" t="str">
        <f t="shared" si="19"/>
        <v>ABS</v>
      </c>
      <c r="AP30" s="120"/>
      <c r="AQ30" s="117"/>
      <c r="AR30" s="138" t="str">
        <f t="shared" si="20"/>
        <v>ABS</v>
      </c>
      <c r="AS30" s="117"/>
      <c r="AT30" s="138" t="str">
        <f t="shared" si="21"/>
        <v>ABS</v>
      </c>
      <c r="AU30" s="193" t="str">
        <f t="shared" si="22"/>
        <v>ABS</v>
      </c>
      <c r="AV30" s="154" t="str">
        <f t="shared" si="23"/>
        <v>ABS</v>
      </c>
      <c r="AW30" s="139"/>
      <c r="AX30" s="140"/>
      <c r="AY30" s="141"/>
      <c r="AZ30" s="138" t="str">
        <f t="shared" si="24"/>
        <v>ABS</v>
      </c>
      <c r="BA30" s="141"/>
      <c r="BB30" s="138" t="str">
        <f t="shared" si="25"/>
        <v>ABS</v>
      </c>
      <c r="BC30" s="193" t="str">
        <f t="shared" si="26"/>
        <v>ABS</v>
      </c>
      <c r="BD30" s="188" t="str">
        <f t="shared" si="27"/>
        <v>ABS</v>
      </c>
    </row>
    <row r="31" spans="2:56" s="64" customFormat="1" ht="15.5">
      <c r="B31" s="194">
        <v>27</v>
      </c>
      <c r="C31" s="124"/>
      <c r="D31" s="147"/>
      <c r="E31" s="127"/>
      <c r="F31" s="127"/>
      <c r="G31" s="137" t="s">
        <v>23</v>
      </c>
      <c r="H31" s="117"/>
      <c r="I31" s="138" t="str">
        <f t="shared" si="0"/>
        <v>ABS</v>
      </c>
      <c r="J31" s="117"/>
      <c r="K31" s="138" t="str">
        <f t="shared" si="1"/>
        <v>ABS</v>
      </c>
      <c r="L31" s="192" t="str">
        <f t="shared" si="2"/>
        <v>ABS</v>
      </c>
      <c r="M31" s="154" t="str">
        <f t="shared" si="3"/>
        <v>ABS</v>
      </c>
      <c r="N31" s="137" t="s">
        <v>30</v>
      </c>
      <c r="O31" s="117"/>
      <c r="P31" s="138" t="str">
        <f t="shared" si="4"/>
        <v>ABS</v>
      </c>
      <c r="Q31" s="117"/>
      <c r="R31" s="138" t="str">
        <f t="shared" si="5"/>
        <v>ABS</v>
      </c>
      <c r="S31" s="193" t="str">
        <f t="shared" si="6"/>
        <v>ABS</v>
      </c>
      <c r="T31" s="154" t="str">
        <f t="shared" si="7"/>
        <v>ABS</v>
      </c>
      <c r="U31" s="137" t="s">
        <v>32</v>
      </c>
      <c r="V31" s="117"/>
      <c r="W31" s="138" t="str">
        <f t="shared" si="8"/>
        <v>ABS</v>
      </c>
      <c r="X31" s="117"/>
      <c r="Y31" s="138" t="str">
        <f t="shared" si="9"/>
        <v>ABS</v>
      </c>
      <c r="Z31" s="193" t="str">
        <f t="shared" si="10"/>
        <v>ABS</v>
      </c>
      <c r="AA31" s="154" t="str">
        <f t="shared" si="11"/>
        <v>ABS</v>
      </c>
      <c r="AB31" s="120"/>
      <c r="AC31" s="117"/>
      <c r="AD31" s="138" t="str">
        <f t="shared" si="12"/>
        <v>ABS</v>
      </c>
      <c r="AE31" s="117"/>
      <c r="AF31" s="138" t="str">
        <f t="shared" si="13"/>
        <v>ABS</v>
      </c>
      <c r="AG31" s="193" t="str">
        <f t="shared" si="14"/>
        <v>ABS</v>
      </c>
      <c r="AH31" s="154" t="str">
        <f t="shared" si="15"/>
        <v>ABS</v>
      </c>
      <c r="AI31" s="119"/>
      <c r="AJ31" s="117"/>
      <c r="AK31" s="138" t="str">
        <f t="shared" si="16"/>
        <v>ABS</v>
      </c>
      <c r="AL31" s="117"/>
      <c r="AM31" s="138" t="str">
        <f t="shared" si="17"/>
        <v>ABS</v>
      </c>
      <c r="AN31" s="193" t="str">
        <f t="shared" si="18"/>
        <v>ABS</v>
      </c>
      <c r="AO31" s="154" t="str">
        <f t="shared" si="19"/>
        <v>ABS</v>
      </c>
      <c r="AP31" s="120"/>
      <c r="AQ31" s="117"/>
      <c r="AR31" s="138" t="str">
        <f t="shared" si="20"/>
        <v>ABS</v>
      </c>
      <c r="AS31" s="117"/>
      <c r="AT31" s="138" t="str">
        <f t="shared" si="21"/>
        <v>ABS</v>
      </c>
      <c r="AU31" s="193" t="str">
        <f t="shared" si="22"/>
        <v>ABS</v>
      </c>
      <c r="AV31" s="154" t="str">
        <f t="shared" si="23"/>
        <v>ABS</v>
      </c>
      <c r="AW31" s="139"/>
      <c r="AX31" s="140"/>
      <c r="AY31" s="141"/>
      <c r="AZ31" s="138" t="str">
        <f t="shared" si="24"/>
        <v>ABS</v>
      </c>
      <c r="BA31" s="141"/>
      <c r="BB31" s="138" t="str">
        <f t="shared" si="25"/>
        <v>ABS</v>
      </c>
      <c r="BC31" s="193" t="str">
        <f t="shared" si="26"/>
        <v>ABS</v>
      </c>
      <c r="BD31" s="188" t="str">
        <f t="shared" si="27"/>
        <v>ABS</v>
      </c>
    </row>
    <row r="32" spans="2:56" s="64" customFormat="1" ht="15.5">
      <c r="B32" s="194">
        <v>28</v>
      </c>
      <c r="C32" s="124"/>
      <c r="D32" s="147"/>
      <c r="E32" s="127"/>
      <c r="F32" s="127"/>
      <c r="G32" s="137" t="s">
        <v>23</v>
      </c>
      <c r="H32" s="117"/>
      <c r="I32" s="138" t="str">
        <f t="shared" si="0"/>
        <v>ABS</v>
      </c>
      <c r="J32" s="117"/>
      <c r="K32" s="138" t="str">
        <f t="shared" si="1"/>
        <v>ABS</v>
      </c>
      <c r="L32" s="192" t="str">
        <f t="shared" si="2"/>
        <v>ABS</v>
      </c>
      <c r="M32" s="154" t="str">
        <f t="shared" si="3"/>
        <v>ABS</v>
      </c>
      <c r="N32" s="137" t="s">
        <v>30</v>
      </c>
      <c r="O32" s="117"/>
      <c r="P32" s="138" t="str">
        <f t="shared" si="4"/>
        <v>ABS</v>
      </c>
      <c r="Q32" s="117"/>
      <c r="R32" s="138" t="str">
        <f t="shared" si="5"/>
        <v>ABS</v>
      </c>
      <c r="S32" s="193" t="str">
        <f t="shared" si="6"/>
        <v>ABS</v>
      </c>
      <c r="T32" s="154" t="str">
        <f t="shared" si="7"/>
        <v>ABS</v>
      </c>
      <c r="U32" s="137" t="s">
        <v>32</v>
      </c>
      <c r="V32" s="117"/>
      <c r="W32" s="138" t="str">
        <f t="shared" si="8"/>
        <v>ABS</v>
      </c>
      <c r="X32" s="117"/>
      <c r="Y32" s="138" t="str">
        <f t="shared" si="9"/>
        <v>ABS</v>
      </c>
      <c r="Z32" s="193" t="str">
        <f t="shared" si="10"/>
        <v>ABS</v>
      </c>
      <c r="AA32" s="154" t="str">
        <f t="shared" si="11"/>
        <v>ABS</v>
      </c>
      <c r="AB32" s="120"/>
      <c r="AC32" s="117"/>
      <c r="AD32" s="138" t="str">
        <f t="shared" si="12"/>
        <v>ABS</v>
      </c>
      <c r="AE32" s="117"/>
      <c r="AF32" s="138" t="str">
        <f t="shared" si="13"/>
        <v>ABS</v>
      </c>
      <c r="AG32" s="193" t="str">
        <f t="shared" si="14"/>
        <v>ABS</v>
      </c>
      <c r="AH32" s="154" t="str">
        <f t="shared" si="15"/>
        <v>ABS</v>
      </c>
      <c r="AI32" s="119"/>
      <c r="AJ32" s="117"/>
      <c r="AK32" s="138" t="str">
        <f t="shared" si="16"/>
        <v>ABS</v>
      </c>
      <c r="AL32" s="117"/>
      <c r="AM32" s="138" t="str">
        <f t="shared" si="17"/>
        <v>ABS</v>
      </c>
      <c r="AN32" s="193" t="str">
        <f t="shared" si="18"/>
        <v>ABS</v>
      </c>
      <c r="AO32" s="154" t="str">
        <f t="shared" si="19"/>
        <v>ABS</v>
      </c>
      <c r="AP32" s="120"/>
      <c r="AQ32" s="117"/>
      <c r="AR32" s="138" t="str">
        <f t="shared" si="20"/>
        <v>ABS</v>
      </c>
      <c r="AS32" s="117"/>
      <c r="AT32" s="138" t="str">
        <f t="shared" si="21"/>
        <v>ABS</v>
      </c>
      <c r="AU32" s="193" t="str">
        <f t="shared" si="22"/>
        <v>ABS</v>
      </c>
      <c r="AV32" s="154" t="str">
        <f t="shared" si="23"/>
        <v>ABS</v>
      </c>
      <c r="AW32" s="139"/>
      <c r="AX32" s="140"/>
      <c r="AY32" s="141"/>
      <c r="AZ32" s="138" t="str">
        <f t="shared" si="24"/>
        <v>ABS</v>
      </c>
      <c r="BA32" s="141"/>
      <c r="BB32" s="138" t="str">
        <f t="shared" si="25"/>
        <v>ABS</v>
      </c>
      <c r="BC32" s="193" t="str">
        <f t="shared" si="26"/>
        <v>ABS</v>
      </c>
      <c r="BD32" s="188" t="str">
        <f t="shared" si="27"/>
        <v>ABS</v>
      </c>
    </row>
    <row r="33" spans="2:56" s="64" customFormat="1" ht="15.5">
      <c r="B33" s="194">
        <v>29</v>
      </c>
      <c r="C33" s="124"/>
      <c r="D33" s="147"/>
      <c r="E33" s="127"/>
      <c r="F33" s="127"/>
      <c r="G33" s="137" t="s">
        <v>23</v>
      </c>
      <c r="H33" s="117"/>
      <c r="I33" s="138" t="str">
        <f t="shared" si="0"/>
        <v>ABS</v>
      </c>
      <c r="J33" s="117"/>
      <c r="K33" s="138" t="str">
        <f t="shared" si="1"/>
        <v>ABS</v>
      </c>
      <c r="L33" s="192" t="str">
        <f t="shared" si="2"/>
        <v>ABS</v>
      </c>
      <c r="M33" s="154" t="str">
        <f t="shared" si="3"/>
        <v>ABS</v>
      </c>
      <c r="N33" s="137" t="s">
        <v>30</v>
      </c>
      <c r="O33" s="117"/>
      <c r="P33" s="138" t="str">
        <f t="shared" si="4"/>
        <v>ABS</v>
      </c>
      <c r="Q33" s="117"/>
      <c r="R33" s="138" t="str">
        <f t="shared" si="5"/>
        <v>ABS</v>
      </c>
      <c r="S33" s="193" t="str">
        <f t="shared" si="6"/>
        <v>ABS</v>
      </c>
      <c r="T33" s="154" t="str">
        <f t="shared" si="7"/>
        <v>ABS</v>
      </c>
      <c r="U33" s="137" t="s">
        <v>32</v>
      </c>
      <c r="V33" s="117"/>
      <c r="W33" s="138" t="str">
        <f t="shared" si="8"/>
        <v>ABS</v>
      </c>
      <c r="X33" s="117"/>
      <c r="Y33" s="138" t="str">
        <f t="shared" si="9"/>
        <v>ABS</v>
      </c>
      <c r="Z33" s="193" t="str">
        <f t="shared" si="10"/>
        <v>ABS</v>
      </c>
      <c r="AA33" s="154" t="str">
        <f t="shared" si="11"/>
        <v>ABS</v>
      </c>
      <c r="AB33" s="120"/>
      <c r="AC33" s="117"/>
      <c r="AD33" s="138" t="str">
        <f t="shared" si="12"/>
        <v>ABS</v>
      </c>
      <c r="AE33" s="117"/>
      <c r="AF33" s="138" t="str">
        <f t="shared" si="13"/>
        <v>ABS</v>
      </c>
      <c r="AG33" s="193" t="str">
        <f t="shared" si="14"/>
        <v>ABS</v>
      </c>
      <c r="AH33" s="154" t="str">
        <f t="shared" si="15"/>
        <v>ABS</v>
      </c>
      <c r="AI33" s="119"/>
      <c r="AJ33" s="117"/>
      <c r="AK33" s="138" t="str">
        <f t="shared" si="16"/>
        <v>ABS</v>
      </c>
      <c r="AL33" s="117"/>
      <c r="AM33" s="138" t="str">
        <f t="shared" si="17"/>
        <v>ABS</v>
      </c>
      <c r="AN33" s="193" t="str">
        <f t="shared" si="18"/>
        <v>ABS</v>
      </c>
      <c r="AO33" s="154" t="str">
        <f t="shared" si="19"/>
        <v>ABS</v>
      </c>
      <c r="AP33" s="120"/>
      <c r="AQ33" s="117"/>
      <c r="AR33" s="138" t="str">
        <f t="shared" si="20"/>
        <v>ABS</v>
      </c>
      <c r="AS33" s="117"/>
      <c r="AT33" s="138" t="str">
        <f t="shared" si="21"/>
        <v>ABS</v>
      </c>
      <c r="AU33" s="193" t="str">
        <f t="shared" si="22"/>
        <v>ABS</v>
      </c>
      <c r="AV33" s="154" t="str">
        <f t="shared" si="23"/>
        <v>ABS</v>
      </c>
      <c r="AW33" s="139"/>
      <c r="AX33" s="140"/>
      <c r="AY33" s="141"/>
      <c r="AZ33" s="138" t="str">
        <f t="shared" si="24"/>
        <v>ABS</v>
      </c>
      <c r="BA33" s="141"/>
      <c r="BB33" s="138" t="str">
        <f t="shared" si="25"/>
        <v>ABS</v>
      </c>
      <c r="BC33" s="193" t="str">
        <f t="shared" si="26"/>
        <v>ABS</v>
      </c>
      <c r="BD33" s="188" t="str">
        <f t="shared" si="27"/>
        <v>ABS</v>
      </c>
    </row>
    <row r="34" spans="2:56" s="64" customFormat="1" ht="15.5">
      <c r="B34" s="194">
        <v>30</v>
      </c>
      <c r="C34" s="124"/>
      <c r="D34" s="147"/>
      <c r="E34" s="127"/>
      <c r="F34" s="127"/>
      <c r="G34" s="137" t="s">
        <v>23</v>
      </c>
      <c r="H34" s="117"/>
      <c r="I34" s="138" t="str">
        <f t="shared" si="0"/>
        <v>ABS</v>
      </c>
      <c r="J34" s="117"/>
      <c r="K34" s="138" t="str">
        <f t="shared" si="1"/>
        <v>ABS</v>
      </c>
      <c r="L34" s="192" t="str">
        <f t="shared" si="2"/>
        <v>ABS</v>
      </c>
      <c r="M34" s="154" t="str">
        <f t="shared" si="3"/>
        <v>ABS</v>
      </c>
      <c r="N34" s="137" t="s">
        <v>30</v>
      </c>
      <c r="O34" s="117"/>
      <c r="P34" s="138" t="str">
        <f t="shared" si="4"/>
        <v>ABS</v>
      </c>
      <c r="Q34" s="117"/>
      <c r="R34" s="138" t="str">
        <f t="shared" si="5"/>
        <v>ABS</v>
      </c>
      <c r="S34" s="193" t="str">
        <f t="shared" si="6"/>
        <v>ABS</v>
      </c>
      <c r="T34" s="154" t="str">
        <f t="shared" si="7"/>
        <v>ABS</v>
      </c>
      <c r="U34" s="137" t="s">
        <v>32</v>
      </c>
      <c r="V34" s="117"/>
      <c r="W34" s="138" t="str">
        <f t="shared" si="8"/>
        <v>ABS</v>
      </c>
      <c r="X34" s="117"/>
      <c r="Y34" s="138" t="str">
        <f t="shared" si="9"/>
        <v>ABS</v>
      </c>
      <c r="Z34" s="193" t="str">
        <f t="shared" si="10"/>
        <v>ABS</v>
      </c>
      <c r="AA34" s="154" t="str">
        <f t="shared" si="11"/>
        <v>ABS</v>
      </c>
      <c r="AB34" s="120"/>
      <c r="AC34" s="117"/>
      <c r="AD34" s="138" t="str">
        <f t="shared" si="12"/>
        <v>ABS</v>
      </c>
      <c r="AE34" s="117"/>
      <c r="AF34" s="138" t="str">
        <f t="shared" si="13"/>
        <v>ABS</v>
      </c>
      <c r="AG34" s="193" t="str">
        <f t="shared" si="14"/>
        <v>ABS</v>
      </c>
      <c r="AH34" s="154" t="str">
        <f t="shared" si="15"/>
        <v>ABS</v>
      </c>
      <c r="AI34" s="119"/>
      <c r="AJ34" s="117"/>
      <c r="AK34" s="138" t="str">
        <f t="shared" si="16"/>
        <v>ABS</v>
      </c>
      <c r="AL34" s="117"/>
      <c r="AM34" s="138" t="str">
        <f t="shared" si="17"/>
        <v>ABS</v>
      </c>
      <c r="AN34" s="193" t="str">
        <f t="shared" si="18"/>
        <v>ABS</v>
      </c>
      <c r="AO34" s="154" t="str">
        <f t="shared" si="19"/>
        <v>ABS</v>
      </c>
      <c r="AP34" s="120"/>
      <c r="AQ34" s="117"/>
      <c r="AR34" s="138" t="str">
        <f t="shared" si="20"/>
        <v>ABS</v>
      </c>
      <c r="AS34" s="117"/>
      <c r="AT34" s="138" t="str">
        <f t="shared" si="21"/>
        <v>ABS</v>
      </c>
      <c r="AU34" s="193" t="str">
        <f t="shared" si="22"/>
        <v>ABS</v>
      </c>
      <c r="AV34" s="154" t="str">
        <f t="shared" si="23"/>
        <v>ABS</v>
      </c>
      <c r="AW34" s="139"/>
      <c r="AX34" s="140"/>
      <c r="AY34" s="141"/>
      <c r="AZ34" s="138" t="str">
        <f t="shared" si="24"/>
        <v>ABS</v>
      </c>
      <c r="BA34" s="141"/>
      <c r="BB34" s="138" t="str">
        <f t="shared" si="25"/>
        <v>ABS</v>
      </c>
      <c r="BC34" s="193" t="str">
        <f t="shared" si="26"/>
        <v>ABS</v>
      </c>
      <c r="BD34" s="188" t="str">
        <f t="shared" si="27"/>
        <v>ABS</v>
      </c>
    </row>
    <row r="35" spans="2:56" s="64" customFormat="1" ht="15.5">
      <c r="B35" s="194">
        <v>31</v>
      </c>
      <c r="C35" s="124"/>
      <c r="D35" s="147"/>
      <c r="E35" s="127"/>
      <c r="F35" s="127"/>
      <c r="G35" s="137" t="s">
        <v>23</v>
      </c>
      <c r="H35" s="117"/>
      <c r="I35" s="138" t="str">
        <f t="shared" si="0"/>
        <v>ABS</v>
      </c>
      <c r="J35" s="117"/>
      <c r="K35" s="138" t="str">
        <f t="shared" si="1"/>
        <v>ABS</v>
      </c>
      <c r="L35" s="192" t="str">
        <f t="shared" si="2"/>
        <v>ABS</v>
      </c>
      <c r="M35" s="154" t="str">
        <f t="shared" si="3"/>
        <v>ABS</v>
      </c>
      <c r="N35" s="137" t="s">
        <v>30</v>
      </c>
      <c r="O35" s="117"/>
      <c r="P35" s="138" t="str">
        <f t="shared" si="4"/>
        <v>ABS</v>
      </c>
      <c r="Q35" s="117"/>
      <c r="R35" s="138" t="str">
        <f t="shared" si="5"/>
        <v>ABS</v>
      </c>
      <c r="S35" s="193" t="str">
        <f t="shared" si="6"/>
        <v>ABS</v>
      </c>
      <c r="T35" s="154" t="str">
        <f t="shared" si="7"/>
        <v>ABS</v>
      </c>
      <c r="U35" s="137" t="s">
        <v>32</v>
      </c>
      <c r="V35" s="117"/>
      <c r="W35" s="138" t="str">
        <f t="shared" si="8"/>
        <v>ABS</v>
      </c>
      <c r="X35" s="117"/>
      <c r="Y35" s="138" t="str">
        <f t="shared" si="9"/>
        <v>ABS</v>
      </c>
      <c r="Z35" s="193" t="str">
        <f t="shared" si="10"/>
        <v>ABS</v>
      </c>
      <c r="AA35" s="154" t="str">
        <f t="shared" si="11"/>
        <v>ABS</v>
      </c>
      <c r="AB35" s="120"/>
      <c r="AC35" s="117"/>
      <c r="AD35" s="138" t="str">
        <f t="shared" si="12"/>
        <v>ABS</v>
      </c>
      <c r="AE35" s="117"/>
      <c r="AF35" s="138" t="str">
        <f t="shared" si="13"/>
        <v>ABS</v>
      </c>
      <c r="AG35" s="193" t="str">
        <f t="shared" si="14"/>
        <v>ABS</v>
      </c>
      <c r="AH35" s="154" t="str">
        <f t="shared" si="15"/>
        <v>ABS</v>
      </c>
      <c r="AI35" s="119"/>
      <c r="AJ35" s="117"/>
      <c r="AK35" s="138" t="str">
        <f t="shared" si="16"/>
        <v>ABS</v>
      </c>
      <c r="AL35" s="117"/>
      <c r="AM35" s="138" t="str">
        <f t="shared" si="17"/>
        <v>ABS</v>
      </c>
      <c r="AN35" s="193" t="str">
        <f t="shared" si="18"/>
        <v>ABS</v>
      </c>
      <c r="AO35" s="154" t="str">
        <f t="shared" si="19"/>
        <v>ABS</v>
      </c>
      <c r="AP35" s="120"/>
      <c r="AQ35" s="117"/>
      <c r="AR35" s="138" t="str">
        <f t="shared" si="20"/>
        <v>ABS</v>
      </c>
      <c r="AS35" s="117"/>
      <c r="AT35" s="138" t="str">
        <f t="shared" si="21"/>
        <v>ABS</v>
      </c>
      <c r="AU35" s="193" t="str">
        <f t="shared" si="22"/>
        <v>ABS</v>
      </c>
      <c r="AV35" s="154" t="str">
        <f t="shared" si="23"/>
        <v>ABS</v>
      </c>
      <c r="AW35" s="139"/>
      <c r="AX35" s="140"/>
      <c r="AY35" s="141"/>
      <c r="AZ35" s="138" t="str">
        <f t="shared" si="24"/>
        <v>ABS</v>
      </c>
      <c r="BA35" s="141"/>
      <c r="BB35" s="138" t="str">
        <f t="shared" si="25"/>
        <v>ABS</v>
      </c>
      <c r="BC35" s="193" t="str">
        <f t="shared" si="26"/>
        <v>ABS</v>
      </c>
      <c r="BD35" s="188" t="str">
        <f t="shared" si="27"/>
        <v>ABS</v>
      </c>
    </row>
    <row r="36" spans="2:56" s="64" customFormat="1" ht="15.5">
      <c r="B36" s="194">
        <v>32</v>
      </c>
      <c r="C36" s="124"/>
      <c r="D36" s="147"/>
      <c r="E36" s="127"/>
      <c r="F36" s="127"/>
      <c r="G36" s="137" t="s">
        <v>23</v>
      </c>
      <c r="H36" s="117"/>
      <c r="I36" s="138" t="str">
        <f t="shared" si="0"/>
        <v>ABS</v>
      </c>
      <c r="J36" s="117"/>
      <c r="K36" s="138" t="str">
        <f t="shared" si="1"/>
        <v>ABS</v>
      </c>
      <c r="L36" s="192" t="str">
        <f t="shared" si="2"/>
        <v>ABS</v>
      </c>
      <c r="M36" s="154" t="str">
        <f t="shared" si="3"/>
        <v>ABS</v>
      </c>
      <c r="N36" s="137" t="s">
        <v>30</v>
      </c>
      <c r="O36" s="117"/>
      <c r="P36" s="138" t="str">
        <f t="shared" si="4"/>
        <v>ABS</v>
      </c>
      <c r="Q36" s="117"/>
      <c r="R36" s="138" t="str">
        <f t="shared" si="5"/>
        <v>ABS</v>
      </c>
      <c r="S36" s="193" t="str">
        <f t="shared" si="6"/>
        <v>ABS</v>
      </c>
      <c r="T36" s="154" t="str">
        <f t="shared" si="7"/>
        <v>ABS</v>
      </c>
      <c r="U36" s="137" t="s">
        <v>32</v>
      </c>
      <c r="V36" s="117"/>
      <c r="W36" s="138" t="str">
        <f t="shared" si="8"/>
        <v>ABS</v>
      </c>
      <c r="X36" s="117"/>
      <c r="Y36" s="138" t="str">
        <f t="shared" si="9"/>
        <v>ABS</v>
      </c>
      <c r="Z36" s="193" t="str">
        <f t="shared" si="10"/>
        <v>ABS</v>
      </c>
      <c r="AA36" s="154" t="str">
        <f t="shared" si="11"/>
        <v>ABS</v>
      </c>
      <c r="AB36" s="120"/>
      <c r="AC36" s="117"/>
      <c r="AD36" s="138" t="str">
        <f t="shared" si="12"/>
        <v>ABS</v>
      </c>
      <c r="AE36" s="117"/>
      <c r="AF36" s="138" t="str">
        <f t="shared" si="13"/>
        <v>ABS</v>
      </c>
      <c r="AG36" s="193" t="str">
        <f t="shared" si="14"/>
        <v>ABS</v>
      </c>
      <c r="AH36" s="154" t="str">
        <f t="shared" si="15"/>
        <v>ABS</v>
      </c>
      <c r="AI36" s="119"/>
      <c r="AJ36" s="117"/>
      <c r="AK36" s="138" t="str">
        <f t="shared" si="16"/>
        <v>ABS</v>
      </c>
      <c r="AL36" s="117"/>
      <c r="AM36" s="138" t="str">
        <f t="shared" si="17"/>
        <v>ABS</v>
      </c>
      <c r="AN36" s="193" t="str">
        <f t="shared" si="18"/>
        <v>ABS</v>
      </c>
      <c r="AO36" s="154" t="str">
        <f t="shared" si="19"/>
        <v>ABS</v>
      </c>
      <c r="AP36" s="120"/>
      <c r="AQ36" s="117"/>
      <c r="AR36" s="138" t="str">
        <f t="shared" si="20"/>
        <v>ABS</v>
      </c>
      <c r="AS36" s="117"/>
      <c r="AT36" s="138" t="str">
        <f t="shared" si="21"/>
        <v>ABS</v>
      </c>
      <c r="AU36" s="193" t="str">
        <f t="shared" si="22"/>
        <v>ABS</v>
      </c>
      <c r="AV36" s="154" t="str">
        <f t="shared" si="23"/>
        <v>ABS</v>
      </c>
      <c r="AW36" s="139"/>
      <c r="AX36" s="140"/>
      <c r="AY36" s="141"/>
      <c r="AZ36" s="138" t="str">
        <f t="shared" si="24"/>
        <v>ABS</v>
      </c>
      <c r="BA36" s="141"/>
      <c r="BB36" s="138" t="str">
        <f t="shared" si="25"/>
        <v>ABS</v>
      </c>
      <c r="BC36" s="193" t="str">
        <f t="shared" si="26"/>
        <v>ABS</v>
      </c>
      <c r="BD36" s="188" t="str">
        <f t="shared" si="27"/>
        <v>ABS</v>
      </c>
    </row>
    <row r="37" spans="2:56" s="64" customFormat="1" ht="15.5">
      <c r="B37" s="194">
        <v>33</v>
      </c>
      <c r="C37" s="124"/>
      <c r="D37" s="147"/>
      <c r="E37" s="127"/>
      <c r="F37" s="127"/>
      <c r="G37" s="137" t="s">
        <v>23</v>
      </c>
      <c r="H37" s="117"/>
      <c r="I37" s="138" t="str">
        <f t="shared" si="0"/>
        <v>ABS</v>
      </c>
      <c r="J37" s="117"/>
      <c r="K37" s="138" t="str">
        <f t="shared" si="1"/>
        <v>ABS</v>
      </c>
      <c r="L37" s="192" t="str">
        <f t="shared" si="2"/>
        <v>ABS</v>
      </c>
      <c r="M37" s="154" t="str">
        <f t="shared" si="3"/>
        <v>ABS</v>
      </c>
      <c r="N37" s="137" t="s">
        <v>30</v>
      </c>
      <c r="O37" s="117"/>
      <c r="P37" s="138" t="str">
        <f t="shared" si="4"/>
        <v>ABS</v>
      </c>
      <c r="Q37" s="117"/>
      <c r="R37" s="138" t="str">
        <f t="shared" si="5"/>
        <v>ABS</v>
      </c>
      <c r="S37" s="193" t="str">
        <f t="shared" si="6"/>
        <v>ABS</v>
      </c>
      <c r="T37" s="154" t="str">
        <f t="shared" si="7"/>
        <v>ABS</v>
      </c>
      <c r="U37" s="137" t="s">
        <v>32</v>
      </c>
      <c r="V37" s="117"/>
      <c r="W37" s="138" t="str">
        <f t="shared" si="8"/>
        <v>ABS</v>
      </c>
      <c r="X37" s="117"/>
      <c r="Y37" s="138" t="str">
        <f t="shared" si="9"/>
        <v>ABS</v>
      </c>
      <c r="Z37" s="193" t="str">
        <f t="shared" si="10"/>
        <v>ABS</v>
      </c>
      <c r="AA37" s="154" t="str">
        <f t="shared" si="11"/>
        <v>ABS</v>
      </c>
      <c r="AB37" s="120"/>
      <c r="AC37" s="117"/>
      <c r="AD37" s="138" t="str">
        <f t="shared" si="12"/>
        <v>ABS</v>
      </c>
      <c r="AE37" s="117"/>
      <c r="AF37" s="138" t="str">
        <f t="shared" si="13"/>
        <v>ABS</v>
      </c>
      <c r="AG37" s="193" t="str">
        <f t="shared" si="14"/>
        <v>ABS</v>
      </c>
      <c r="AH37" s="154" t="str">
        <f t="shared" si="15"/>
        <v>ABS</v>
      </c>
      <c r="AI37" s="119"/>
      <c r="AJ37" s="117"/>
      <c r="AK37" s="138" t="str">
        <f t="shared" si="16"/>
        <v>ABS</v>
      </c>
      <c r="AL37" s="117"/>
      <c r="AM37" s="138" t="str">
        <f t="shared" si="17"/>
        <v>ABS</v>
      </c>
      <c r="AN37" s="193" t="str">
        <f t="shared" si="18"/>
        <v>ABS</v>
      </c>
      <c r="AO37" s="154" t="str">
        <f t="shared" si="19"/>
        <v>ABS</v>
      </c>
      <c r="AP37" s="120"/>
      <c r="AQ37" s="117"/>
      <c r="AR37" s="138" t="str">
        <f t="shared" si="20"/>
        <v>ABS</v>
      </c>
      <c r="AS37" s="117"/>
      <c r="AT37" s="138" t="str">
        <f t="shared" si="21"/>
        <v>ABS</v>
      </c>
      <c r="AU37" s="193" t="str">
        <f t="shared" si="22"/>
        <v>ABS</v>
      </c>
      <c r="AV37" s="154" t="str">
        <f t="shared" si="23"/>
        <v>ABS</v>
      </c>
      <c r="AW37" s="139"/>
      <c r="AX37" s="140"/>
      <c r="AY37" s="141"/>
      <c r="AZ37" s="138" t="str">
        <f t="shared" si="24"/>
        <v>ABS</v>
      </c>
      <c r="BA37" s="141"/>
      <c r="BB37" s="138" t="str">
        <f t="shared" si="25"/>
        <v>ABS</v>
      </c>
      <c r="BC37" s="193" t="str">
        <f t="shared" si="26"/>
        <v>ABS</v>
      </c>
      <c r="BD37" s="188" t="str">
        <f t="shared" si="27"/>
        <v>ABS</v>
      </c>
    </row>
    <row r="38" spans="2:56" s="64" customFormat="1" ht="15.5">
      <c r="B38" s="194">
        <v>34</v>
      </c>
      <c r="C38" s="124"/>
      <c r="D38" s="147"/>
      <c r="E38" s="127"/>
      <c r="F38" s="127"/>
      <c r="G38" s="137" t="s">
        <v>23</v>
      </c>
      <c r="H38" s="117"/>
      <c r="I38" s="138" t="str">
        <f t="shared" si="0"/>
        <v>ABS</v>
      </c>
      <c r="J38" s="117"/>
      <c r="K38" s="138" t="str">
        <f t="shared" si="1"/>
        <v>ABS</v>
      </c>
      <c r="L38" s="192" t="str">
        <f t="shared" si="2"/>
        <v>ABS</v>
      </c>
      <c r="M38" s="154" t="str">
        <f t="shared" si="3"/>
        <v>ABS</v>
      </c>
      <c r="N38" s="137" t="s">
        <v>30</v>
      </c>
      <c r="O38" s="117"/>
      <c r="P38" s="138" t="str">
        <f t="shared" si="4"/>
        <v>ABS</v>
      </c>
      <c r="Q38" s="117"/>
      <c r="R38" s="138" t="str">
        <f t="shared" si="5"/>
        <v>ABS</v>
      </c>
      <c r="S38" s="193" t="str">
        <f t="shared" si="6"/>
        <v>ABS</v>
      </c>
      <c r="T38" s="154" t="str">
        <f t="shared" si="7"/>
        <v>ABS</v>
      </c>
      <c r="U38" s="137" t="s">
        <v>32</v>
      </c>
      <c r="V38" s="117"/>
      <c r="W38" s="138" t="str">
        <f t="shared" si="8"/>
        <v>ABS</v>
      </c>
      <c r="X38" s="117"/>
      <c r="Y38" s="138" t="str">
        <f t="shared" si="9"/>
        <v>ABS</v>
      </c>
      <c r="Z38" s="193" t="str">
        <f t="shared" si="10"/>
        <v>ABS</v>
      </c>
      <c r="AA38" s="154" t="str">
        <f t="shared" si="11"/>
        <v>ABS</v>
      </c>
      <c r="AB38" s="120"/>
      <c r="AC38" s="117"/>
      <c r="AD38" s="138" t="str">
        <f t="shared" si="12"/>
        <v>ABS</v>
      </c>
      <c r="AE38" s="117"/>
      <c r="AF38" s="138" t="str">
        <f t="shared" si="13"/>
        <v>ABS</v>
      </c>
      <c r="AG38" s="193" t="str">
        <f t="shared" si="14"/>
        <v>ABS</v>
      </c>
      <c r="AH38" s="154" t="str">
        <f t="shared" si="15"/>
        <v>ABS</v>
      </c>
      <c r="AI38" s="119"/>
      <c r="AJ38" s="117"/>
      <c r="AK38" s="138" t="str">
        <f t="shared" si="16"/>
        <v>ABS</v>
      </c>
      <c r="AL38" s="117"/>
      <c r="AM38" s="138" t="str">
        <f t="shared" si="17"/>
        <v>ABS</v>
      </c>
      <c r="AN38" s="193" t="str">
        <f t="shared" si="18"/>
        <v>ABS</v>
      </c>
      <c r="AO38" s="154" t="str">
        <f t="shared" si="19"/>
        <v>ABS</v>
      </c>
      <c r="AP38" s="120"/>
      <c r="AQ38" s="117"/>
      <c r="AR38" s="138" t="str">
        <f t="shared" si="20"/>
        <v>ABS</v>
      </c>
      <c r="AS38" s="117"/>
      <c r="AT38" s="138" t="str">
        <f t="shared" si="21"/>
        <v>ABS</v>
      </c>
      <c r="AU38" s="193" t="str">
        <f t="shared" si="22"/>
        <v>ABS</v>
      </c>
      <c r="AV38" s="154" t="str">
        <f t="shared" si="23"/>
        <v>ABS</v>
      </c>
      <c r="AW38" s="139"/>
      <c r="AX38" s="140"/>
      <c r="AY38" s="141"/>
      <c r="AZ38" s="138" t="str">
        <f t="shared" si="24"/>
        <v>ABS</v>
      </c>
      <c r="BA38" s="141"/>
      <c r="BB38" s="138" t="str">
        <f t="shared" si="25"/>
        <v>ABS</v>
      </c>
      <c r="BC38" s="193" t="str">
        <f t="shared" si="26"/>
        <v>ABS</v>
      </c>
      <c r="BD38" s="188" t="str">
        <f t="shared" si="27"/>
        <v>ABS</v>
      </c>
    </row>
    <row r="39" spans="2:56" s="64" customFormat="1" ht="15.5">
      <c r="B39" s="194">
        <v>35</v>
      </c>
      <c r="C39" s="124"/>
      <c r="D39" s="147"/>
      <c r="E39" s="127"/>
      <c r="F39" s="127"/>
      <c r="G39" s="137" t="s">
        <v>23</v>
      </c>
      <c r="H39" s="117"/>
      <c r="I39" s="138" t="str">
        <f t="shared" si="0"/>
        <v>ABS</v>
      </c>
      <c r="J39" s="117"/>
      <c r="K39" s="138" t="str">
        <f t="shared" si="1"/>
        <v>ABS</v>
      </c>
      <c r="L39" s="192" t="str">
        <f t="shared" si="2"/>
        <v>ABS</v>
      </c>
      <c r="M39" s="154" t="str">
        <f t="shared" si="3"/>
        <v>ABS</v>
      </c>
      <c r="N39" s="137" t="s">
        <v>30</v>
      </c>
      <c r="O39" s="117"/>
      <c r="P39" s="138" t="str">
        <f t="shared" si="4"/>
        <v>ABS</v>
      </c>
      <c r="Q39" s="117"/>
      <c r="R39" s="138" t="str">
        <f t="shared" si="5"/>
        <v>ABS</v>
      </c>
      <c r="S39" s="193" t="str">
        <f t="shared" si="6"/>
        <v>ABS</v>
      </c>
      <c r="T39" s="154" t="str">
        <f t="shared" si="7"/>
        <v>ABS</v>
      </c>
      <c r="U39" s="137" t="s">
        <v>32</v>
      </c>
      <c r="V39" s="117"/>
      <c r="W39" s="138" t="str">
        <f t="shared" si="8"/>
        <v>ABS</v>
      </c>
      <c r="X39" s="117"/>
      <c r="Y39" s="138" t="str">
        <f t="shared" si="9"/>
        <v>ABS</v>
      </c>
      <c r="Z39" s="193" t="str">
        <f t="shared" si="10"/>
        <v>ABS</v>
      </c>
      <c r="AA39" s="154" t="str">
        <f t="shared" si="11"/>
        <v>ABS</v>
      </c>
      <c r="AB39" s="120"/>
      <c r="AC39" s="117"/>
      <c r="AD39" s="138" t="str">
        <f t="shared" si="12"/>
        <v>ABS</v>
      </c>
      <c r="AE39" s="117"/>
      <c r="AF39" s="138" t="str">
        <f t="shared" si="13"/>
        <v>ABS</v>
      </c>
      <c r="AG39" s="193" t="str">
        <f t="shared" si="14"/>
        <v>ABS</v>
      </c>
      <c r="AH39" s="154" t="str">
        <f t="shared" si="15"/>
        <v>ABS</v>
      </c>
      <c r="AI39" s="119"/>
      <c r="AJ39" s="117"/>
      <c r="AK39" s="138" t="str">
        <f t="shared" si="16"/>
        <v>ABS</v>
      </c>
      <c r="AL39" s="117"/>
      <c r="AM39" s="138" t="str">
        <f t="shared" si="17"/>
        <v>ABS</v>
      </c>
      <c r="AN39" s="193" t="str">
        <f t="shared" si="18"/>
        <v>ABS</v>
      </c>
      <c r="AO39" s="154" t="str">
        <f t="shared" si="19"/>
        <v>ABS</v>
      </c>
      <c r="AP39" s="120"/>
      <c r="AQ39" s="117"/>
      <c r="AR39" s="138" t="str">
        <f t="shared" si="20"/>
        <v>ABS</v>
      </c>
      <c r="AS39" s="117"/>
      <c r="AT39" s="138" t="str">
        <f t="shared" si="21"/>
        <v>ABS</v>
      </c>
      <c r="AU39" s="193" t="str">
        <f t="shared" si="22"/>
        <v>ABS</v>
      </c>
      <c r="AV39" s="154" t="str">
        <f t="shared" si="23"/>
        <v>ABS</v>
      </c>
      <c r="AW39" s="139"/>
      <c r="AX39" s="140"/>
      <c r="AY39" s="141"/>
      <c r="AZ39" s="138" t="str">
        <f t="shared" si="24"/>
        <v>ABS</v>
      </c>
      <c r="BA39" s="141"/>
      <c r="BB39" s="138" t="str">
        <f t="shared" si="25"/>
        <v>ABS</v>
      </c>
      <c r="BC39" s="193" t="str">
        <f t="shared" si="26"/>
        <v>ABS</v>
      </c>
      <c r="BD39" s="188" t="str">
        <f t="shared" si="27"/>
        <v>ABS</v>
      </c>
    </row>
    <row r="40" spans="2:56" s="64" customFormat="1" ht="15.5">
      <c r="B40" s="194">
        <v>36</v>
      </c>
      <c r="C40" s="124"/>
      <c r="D40" s="147"/>
      <c r="E40" s="127"/>
      <c r="F40" s="127"/>
      <c r="G40" s="137" t="s">
        <v>23</v>
      </c>
      <c r="H40" s="117"/>
      <c r="I40" s="138" t="str">
        <f t="shared" si="0"/>
        <v>ABS</v>
      </c>
      <c r="J40" s="117"/>
      <c r="K40" s="138" t="str">
        <f t="shared" si="1"/>
        <v>ABS</v>
      </c>
      <c r="L40" s="192" t="str">
        <f t="shared" si="2"/>
        <v>ABS</v>
      </c>
      <c r="M40" s="154" t="str">
        <f t="shared" si="3"/>
        <v>ABS</v>
      </c>
      <c r="N40" s="137" t="s">
        <v>30</v>
      </c>
      <c r="O40" s="117"/>
      <c r="P40" s="138" t="str">
        <f t="shared" si="4"/>
        <v>ABS</v>
      </c>
      <c r="Q40" s="117"/>
      <c r="R40" s="138" t="str">
        <f t="shared" si="5"/>
        <v>ABS</v>
      </c>
      <c r="S40" s="193" t="str">
        <f t="shared" si="6"/>
        <v>ABS</v>
      </c>
      <c r="T40" s="154" t="str">
        <f t="shared" si="7"/>
        <v>ABS</v>
      </c>
      <c r="U40" s="137" t="s">
        <v>32</v>
      </c>
      <c r="V40" s="117"/>
      <c r="W40" s="138" t="str">
        <f t="shared" si="8"/>
        <v>ABS</v>
      </c>
      <c r="X40" s="117"/>
      <c r="Y40" s="138" t="str">
        <f t="shared" si="9"/>
        <v>ABS</v>
      </c>
      <c r="Z40" s="193" t="str">
        <f t="shared" si="10"/>
        <v>ABS</v>
      </c>
      <c r="AA40" s="154" t="str">
        <f t="shared" si="11"/>
        <v>ABS</v>
      </c>
      <c r="AB40" s="120"/>
      <c r="AC40" s="117"/>
      <c r="AD40" s="138" t="str">
        <f t="shared" si="12"/>
        <v>ABS</v>
      </c>
      <c r="AE40" s="117"/>
      <c r="AF40" s="138" t="str">
        <f t="shared" si="13"/>
        <v>ABS</v>
      </c>
      <c r="AG40" s="193" t="str">
        <f t="shared" si="14"/>
        <v>ABS</v>
      </c>
      <c r="AH40" s="154" t="str">
        <f t="shared" si="15"/>
        <v>ABS</v>
      </c>
      <c r="AI40" s="119"/>
      <c r="AJ40" s="117"/>
      <c r="AK40" s="138" t="str">
        <f t="shared" si="16"/>
        <v>ABS</v>
      </c>
      <c r="AL40" s="117"/>
      <c r="AM40" s="138" t="str">
        <f t="shared" si="17"/>
        <v>ABS</v>
      </c>
      <c r="AN40" s="193" t="str">
        <f t="shared" si="18"/>
        <v>ABS</v>
      </c>
      <c r="AO40" s="154" t="str">
        <f t="shared" si="19"/>
        <v>ABS</v>
      </c>
      <c r="AP40" s="120"/>
      <c r="AQ40" s="117"/>
      <c r="AR40" s="138" t="str">
        <f t="shared" si="20"/>
        <v>ABS</v>
      </c>
      <c r="AS40" s="117"/>
      <c r="AT40" s="138" t="str">
        <f t="shared" si="21"/>
        <v>ABS</v>
      </c>
      <c r="AU40" s="193" t="str">
        <f t="shared" si="22"/>
        <v>ABS</v>
      </c>
      <c r="AV40" s="154" t="str">
        <f t="shared" si="23"/>
        <v>ABS</v>
      </c>
      <c r="AW40" s="139"/>
      <c r="AX40" s="140"/>
      <c r="AY40" s="141"/>
      <c r="AZ40" s="138" t="str">
        <f t="shared" si="24"/>
        <v>ABS</v>
      </c>
      <c r="BA40" s="141"/>
      <c r="BB40" s="138" t="str">
        <f t="shared" si="25"/>
        <v>ABS</v>
      </c>
      <c r="BC40" s="193" t="str">
        <f t="shared" si="26"/>
        <v>ABS</v>
      </c>
      <c r="BD40" s="188" t="str">
        <f t="shared" si="27"/>
        <v>ABS</v>
      </c>
    </row>
    <row r="41" spans="2:56" s="64" customFormat="1" ht="15.5">
      <c r="B41" s="194">
        <v>37</v>
      </c>
      <c r="C41" s="124"/>
      <c r="D41" s="147"/>
      <c r="E41" s="127"/>
      <c r="F41" s="127"/>
      <c r="G41" s="137" t="s">
        <v>23</v>
      </c>
      <c r="H41" s="117"/>
      <c r="I41" s="138" t="str">
        <f t="shared" si="0"/>
        <v>ABS</v>
      </c>
      <c r="J41" s="117"/>
      <c r="K41" s="138" t="str">
        <f t="shared" si="1"/>
        <v>ABS</v>
      </c>
      <c r="L41" s="192" t="str">
        <f t="shared" si="2"/>
        <v>ABS</v>
      </c>
      <c r="M41" s="154" t="str">
        <f t="shared" si="3"/>
        <v>ABS</v>
      </c>
      <c r="N41" s="137" t="s">
        <v>30</v>
      </c>
      <c r="O41" s="117"/>
      <c r="P41" s="138" t="str">
        <f t="shared" si="4"/>
        <v>ABS</v>
      </c>
      <c r="Q41" s="117"/>
      <c r="R41" s="138" t="str">
        <f t="shared" si="5"/>
        <v>ABS</v>
      </c>
      <c r="S41" s="193" t="str">
        <f t="shared" si="6"/>
        <v>ABS</v>
      </c>
      <c r="T41" s="154" t="str">
        <f t="shared" si="7"/>
        <v>ABS</v>
      </c>
      <c r="U41" s="137" t="s">
        <v>32</v>
      </c>
      <c r="V41" s="117"/>
      <c r="W41" s="138" t="str">
        <f t="shared" si="8"/>
        <v>ABS</v>
      </c>
      <c r="X41" s="117"/>
      <c r="Y41" s="138" t="str">
        <f t="shared" si="9"/>
        <v>ABS</v>
      </c>
      <c r="Z41" s="193" t="str">
        <f t="shared" si="10"/>
        <v>ABS</v>
      </c>
      <c r="AA41" s="154" t="str">
        <f t="shared" si="11"/>
        <v>ABS</v>
      </c>
      <c r="AB41" s="120"/>
      <c r="AC41" s="117"/>
      <c r="AD41" s="138" t="str">
        <f t="shared" si="12"/>
        <v>ABS</v>
      </c>
      <c r="AE41" s="117"/>
      <c r="AF41" s="138" t="str">
        <f t="shared" si="13"/>
        <v>ABS</v>
      </c>
      <c r="AG41" s="193" t="str">
        <f t="shared" si="14"/>
        <v>ABS</v>
      </c>
      <c r="AH41" s="154" t="str">
        <f t="shared" si="15"/>
        <v>ABS</v>
      </c>
      <c r="AI41" s="119"/>
      <c r="AJ41" s="117"/>
      <c r="AK41" s="138" t="str">
        <f t="shared" si="16"/>
        <v>ABS</v>
      </c>
      <c r="AL41" s="117"/>
      <c r="AM41" s="138" t="str">
        <f t="shared" si="17"/>
        <v>ABS</v>
      </c>
      <c r="AN41" s="193" t="str">
        <f t="shared" si="18"/>
        <v>ABS</v>
      </c>
      <c r="AO41" s="154" t="str">
        <f t="shared" si="19"/>
        <v>ABS</v>
      </c>
      <c r="AP41" s="120"/>
      <c r="AQ41" s="117"/>
      <c r="AR41" s="138" t="str">
        <f t="shared" si="20"/>
        <v>ABS</v>
      </c>
      <c r="AS41" s="117"/>
      <c r="AT41" s="138" t="str">
        <f t="shared" si="21"/>
        <v>ABS</v>
      </c>
      <c r="AU41" s="193" t="str">
        <f t="shared" si="22"/>
        <v>ABS</v>
      </c>
      <c r="AV41" s="154" t="str">
        <f t="shared" si="23"/>
        <v>ABS</v>
      </c>
      <c r="AW41" s="139"/>
      <c r="AX41" s="140"/>
      <c r="AY41" s="141"/>
      <c r="AZ41" s="138" t="str">
        <f t="shared" si="24"/>
        <v>ABS</v>
      </c>
      <c r="BA41" s="141"/>
      <c r="BB41" s="138" t="str">
        <f t="shared" si="25"/>
        <v>ABS</v>
      </c>
      <c r="BC41" s="193" t="str">
        <f t="shared" si="26"/>
        <v>ABS</v>
      </c>
      <c r="BD41" s="188" t="str">
        <f t="shared" si="27"/>
        <v>ABS</v>
      </c>
    </row>
    <row r="42" spans="2:56" s="64" customFormat="1" ht="15.5">
      <c r="B42" s="194">
        <v>38</v>
      </c>
      <c r="C42" s="124"/>
      <c r="D42" s="147"/>
      <c r="E42" s="127"/>
      <c r="F42" s="127"/>
      <c r="G42" s="137" t="s">
        <v>23</v>
      </c>
      <c r="H42" s="117"/>
      <c r="I42" s="138" t="str">
        <f t="shared" si="0"/>
        <v>ABS</v>
      </c>
      <c r="J42" s="117"/>
      <c r="K42" s="138" t="str">
        <f t="shared" si="1"/>
        <v>ABS</v>
      </c>
      <c r="L42" s="192" t="str">
        <f t="shared" si="2"/>
        <v>ABS</v>
      </c>
      <c r="M42" s="154" t="str">
        <f t="shared" si="3"/>
        <v>ABS</v>
      </c>
      <c r="N42" s="137" t="s">
        <v>30</v>
      </c>
      <c r="O42" s="117"/>
      <c r="P42" s="138" t="str">
        <f t="shared" si="4"/>
        <v>ABS</v>
      </c>
      <c r="Q42" s="117"/>
      <c r="R42" s="138" t="str">
        <f t="shared" si="5"/>
        <v>ABS</v>
      </c>
      <c r="S42" s="193" t="str">
        <f t="shared" si="6"/>
        <v>ABS</v>
      </c>
      <c r="T42" s="154" t="str">
        <f t="shared" si="7"/>
        <v>ABS</v>
      </c>
      <c r="U42" s="137" t="s">
        <v>32</v>
      </c>
      <c r="V42" s="117"/>
      <c r="W42" s="138" t="str">
        <f t="shared" si="8"/>
        <v>ABS</v>
      </c>
      <c r="X42" s="117"/>
      <c r="Y42" s="138" t="str">
        <f t="shared" si="9"/>
        <v>ABS</v>
      </c>
      <c r="Z42" s="193" t="str">
        <f t="shared" si="10"/>
        <v>ABS</v>
      </c>
      <c r="AA42" s="154" t="str">
        <f t="shared" si="11"/>
        <v>ABS</v>
      </c>
      <c r="AB42" s="120"/>
      <c r="AC42" s="117"/>
      <c r="AD42" s="138" t="str">
        <f t="shared" si="12"/>
        <v>ABS</v>
      </c>
      <c r="AE42" s="117"/>
      <c r="AF42" s="138" t="str">
        <f t="shared" si="13"/>
        <v>ABS</v>
      </c>
      <c r="AG42" s="193" t="str">
        <f t="shared" si="14"/>
        <v>ABS</v>
      </c>
      <c r="AH42" s="154" t="str">
        <f t="shared" si="15"/>
        <v>ABS</v>
      </c>
      <c r="AI42" s="119"/>
      <c r="AJ42" s="117"/>
      <c r="AK42" s="138" t="str">
        <f t="shared" si="16"/>
        <v>ABS</v>
      </c>
      <c r="AL42" s="117"/>
      <c r="AM42" s="138" t="str">
        <f t="shared" si="17"/>
        <v>ABS</v>
      </c>
      <c r="AN42" s="193" t="str">
        <f t="shared" si="18"/>
        <v>ABS</v>
      </c>
      <c r="AO42" s="154" t="str">
        <f t="shared" si="19"/>
        <v>ABS</v>
      </c>
      <c r="AP42" s="120"/>
      <c r="AQ42" s="117"/>
      <c r="AR42" s="138" t="str">
        <f t="shared" si="20"/>
        <v>ABS</v>
      </c>
      <c r="AS42" s="117"/>
      <c r="AT42" s="138" t="str">
        <f t="shared" si="21"/>
        <v>ABS</v>
      </c>
      <c r="AU42" s="193" t="str">
        <f t="shared" si="22"/>
        <v>ABS</v>
      </c>
      <c r="AV42" s="154" t="str">
        <f t="shared" si="23"/>
        <v>ABS</v>
      </c>
      <c r="AW42" s="139"/>
      <c r="AX42" s="140"/>
      <c r="AY42" s="141"/>
      <c r="AZ42" s="138" t="str">
        <f t="shared" si="24"/>
        <v>ABS</v>
      </c>
      <c r="BA42" s="141"/>
      <c r="BB42" s="138" t="str">
        <f t="shared" si="25"/>
        <v>ABS</v>
      </c>
      <c r="BC42" s="193" t="str">
        <f t="shared" si="26"/>
        <v>ABS</v>
      </c>
      <c r="BD42" s="188" t="str">
        <f t="shared" si="27"/>
        <v>ABS</v>
      </c>
    </row>
    <row r="43" spans="2:56" s="64" customFormat="1" ht="15.5">
      <c r="B43" s="194">
        <v>39</v>
      </c>
      <c r="C43" s="124"/>
      <c r="D43" s="147"/>
      <c r="E43" s="127"/>
      <c r="F43" s="127"/>
      <c r="G43" s="137" t="s">
        <v>23</v>
      </c>
      <c r="H43" s="117"/>
      <c r="I43" s="138" t="str">
        <f t="shared" si="0"/>
        <v>ABS</v>
      </c>
      <c r="J43" s="117"/>
      <c r="K43" s="138" t="str">
        <f t="shared" si="1"/>
        <v>ABS</v>
      </c>
      <c r="L43" s="192" t="str">
        <f t="shared" si="2"/>
        <v>ABS</v>
      </c>
      <c r="M43" s="154" t="str">
        <f t="shared" si="3"/>
        <v>ABS</v>
      </c>
      <c r="N43" s="137" t="s">
        <v>30</v>
      </c>
      <c r="O43" s="117"/>
      <c r="P43" s="138" t="str">
        <f t="shared" si="4"/>
        <v>ABS</v>
      </c>
      <c r="Q43" s="117"/>
      <c r="R43" s="138" t="str">
        <f t="shared" si="5"/>
        <v>ABS</v>
      </c>
      <c r="S43" s="193" t="str">
        <f t="shared" si="6"/>
        <v>ABS</v>
      </c>
      <c r="T43" s="154" t="str">
        <f t="shared" si="7"/>
        <v>ABS</v>
      </c>
      <c r="U43" s="137" t="s">
        <v>32</v>
      </c>
      <c r="V43" s="117"/>
      <c r="W43" s="138" t="str">
        <f t="shared" si="8"/>
        <v>ABS</v>
      </c>
      <c r="X43" s="117"/>
      <c r="Y43" s="138" t="str">
        <f t="shared" si="9"/>
        <v>ABS</v>
      </c>
      <c r="Z43" s="193" t="str">
        <f t="shared" si="10"/>
        <v>ABS</v>
      </c>
      <c r="AA43" s="154" t="str">
        <f t="shared" si="11"/>
        <v>ABS</v>
      </c>
      <c r="AB43" s="120"/>
      <c r="AC43" s="117"/>
      <c r="AD43" s="138" t="str">
        <f t="shared" si="12"/>
        <v>ABS</v>
      </c>
      <c r="AE43" s="117"/>
      <c r="AF43" s="138" t="str">
        <f t="shared" si="13"/>
        <v>ABS</v>
      </c>
      <c r="AG43" s="193" t="str">
        <f t="shared" si="14"/>
        <v>ABS</v>
      </c>
      <c r="AH43" s="154" t="str">
        <f t="shared" si="15"/>
        <v>ABS</v>
      </c>
      <c r="AI43" s="119"/>
      <c r="AJ43" s="117"/>
      <c r="AK43" s="138" t="str">
        <f t="shared" si="16"/>
        <v>ABS</v>
      </c>
      <c r="AL43" s="117"/>
      <c r="AM43" s="138" t="str">
        <f t="shared" si="17"/>
        <v>ABS</v>
      </c>
      <c r="AN43" s="193" t="str">
        <f t="shared" si="18"/>
        <v>ABS</v>
      </c>
      <c r="AO43" s="154" t="str">
        <f t="shared" si="19"/>
        <v>ABS</v>
      </c>
      <c r="AP43" s="120"/>
      <c r="AQ43" s="117"/>
      <c r="AR43" s="138" t="str">
        <f t="shared" si="20"/>
        <v>ABS</v>
      </c>
      <c r="AS43" s="117"/>
      <c r="AT43" s="138" t="str">
        <f t="shared" si="21"/>
        <v>ABS</v>
      </c>
      <c r="AU43" s="193" t="str">
        <f t="shared" si="22"/>
        <v>ABS</v>
      </c>
      <c r="AV43" s="154" t="str">
        <f t="shared" si="23"/>
        <v>ABS</v>
      </c>
      <c r="AW43" s="139"/>
      <c r="AX43" s="140"/>
      <c r="AY43" s="141"/>
      <c r="AZ43" s="138" t="str">
        <f t="shared" si="24"/>
        <v>ABS</v>
      </c>
      <c r="BA43" s="141"/>
      <c r="BB43" s="138" t="str">
        <f t="shared" si="25"/>
        <v>ABS</v>
      </c>
      <c r="BC43" s="193" t="str">
        <f t="shared" si="26"/>
        <v>ABS</v>
      </c>
      <c r="BD43" s="188" t="str">
        <f t="shared" si="27"/>
        <v>ABS</v>
      </c>
    </row>
    <row r="44" spans="2:56" s="64" customFormat="1" ht="15.5">
      <c r="B44" s="194">
        <v>40</v>
      </c>
      <c r="C44" s="124"/>
      <c r="D44" s="147"/>
      <c r="E44" s="127"/>
      <c r="F44" s="127"/>
      <c r="G44" s="137" t="s">
        <v>23</v>
      </c>
      <c r="H44" s="117"/>
      <c r="I44" s="138" t="str">
        <f t="shared" si="0"/>
        <v>ABS</v>
      </c>
      <c r="J44" s="117"/>
      <c r="K44" s="138" t="str">
        <f t="shared" si="1"/>
        <v>ABS</v>
      </c>
      <c r="L44" s="192" t="str">
        <f t="shared" si="2"/>
        <v>ABS</v>
      </c>
      <c r="M44" s="154" t="str">
        <f t="shared" si="3"/>
        <v>ABS</v>
      </c>
      <c r="N44" s="137" t="s">
        <v>30</v>
      </c>
      <c r="O44" s="117"/>
      <c r="P44" s="138" t="str">
        <f t="shared" si="4"/>
        <v>ABS</v>
      </c>
      <c r="Q44" s="117"/>
      <c r="R44" s="138" t="str">
        <f t="shared" si="5"/>
        <v>ABS</v>
      </c>
      <c r="S44" s="193" t="str">
        <f t="shared" si="6"/>
        <v>ABS</v>
      </c>
      <c r="T44" s="154" t="str">
        <f t="shared" si="7"/>
        <v>ABS</v>
      </c>
      <c r="U44" s="137" t="s">
        <v>32</v>
      </c>
      <c r="V44" s="117"/>
      <c r="W44" s="138" t="str">
        <f t="shared" si="8"/>
        <v>ABS</v>
      </c>
      <c r="X44" s="117"/>
      <c r="Y44" s="138" t="str">
        <f t="shared" si="9"/>
        <v>ABS</v>
      </c>
      <c r="Z44" s="193" t="str">
        <f t="shared" si="10"/>
        <v>ABS</v>
      </c>
      <c r="AA44" s="154" t="str">
        <f t="shared" si="11"/>
        <v>ABS</v>
      </c>
      <c r="AB44" s="120"/>
      <c r="AC44" s="117"/>
      <c r="AD44" s="138" t="str">
        <f t="shared" si="12"/>
        <v>ABS</v>
      </c>
      <c r="AE44" s="117"/>
      <c r="AF44" s="138" t="str">
        <f t="shared" si="13"/>
        <v>ABS</v>
      </c>
      <c r="AG44" s="193" t="str">
        <f t="shared" si="14"/>
        <v>ABS</v>
      </c>
      <c r="AH44" s="154" t="str">
        <f t="shared" si="15"/>
        <v>ABS</v>
      </c>
      <c r="AI44" s="119"/>
      <c r="AJ44" s="117"/>
      <c r="AK44" s="138" t="str">
        <f t="shared" si="16"/>
        <v>ABS</v>
      </c>
      <c r="AL44" s="117"/>
      <c r="AM44" s="138" t="str">
        <f t="shared" si="17"/>
        <v>ABS</v>
      </c>
      <c r="AN44" s="193" t="str">
        <f t="shared" si="18"/>
        <v>ABS</v>
      </c>
      <c r="AO44" s="154" t="str">
        <f t="shared" si="19"/>
        <v>ABS</v>
      </c>
      <c r="AP44" s="120"/>
      <c r="AQ44" s="117"/>
      <c r="AR44" s="138" t="str">
        <f t="shared" si="20"/>
        <v>ABS</v>
      </c>
      <c r="AS44" s="117"/>
      <c r="AT44" s="138" t="str">
        <f t="shared" si="21"/>
        <v>ABS</v>
      </c>
      <c r="AU44" s="193" t="str">
        <f t="shared" si="22"/>
        <v>ABS</v>
      </c>
      <c r="AV44" s="154" t="str">
        <f t="shared" si="23"/>
        <v>ABS</v>
      </c>
      <c r="AW44" s="139"/>
      <c r="AX44" s="140"/>
      <c r="AY44" s="141"/>
      <c r="AZ44" s="138" t="str">
        <f t="shared" si="24"/>
        <v>ABS</v>
      </c>
      <c r="BA44" s="141"/>
      <c r="BB44" s="138" t="str">
        <f t="shared" si="25"/>
        <v>ABS</v>
      </c>
      <c r="BC44" s="193" t="str">
        <f t="shared" si="26"/>
        <v>ABS</v>
      </c>
      <c r="BD44" s="188" t="str">
        <f t="shared" si="27"/>
        <v>ABS</v>
      </c>
    </row>
    <row r="45" spans="2:56" s="64" customFormat="1" ht="15.5">
      <c r="B45" s="194">
        <v>41</v>
      </c>
      <c r="C45" s="124"/>
      <c r="D45" s="147"/>
      <c r="E45" s="127"/>
      <c r="F45" s="127"/>
      <c r="G45" s="137" t="s">
        <v>23</v>
      </c>
      <c r="H45" s="117"/>
      <c r="I45" s="138" t="str">
        <f t="shared" si="0"/>
        <v>ABS</v>
      </c>
      <c r="J45" s="117"/>
      <c r="K45" s="138" t="str">
        <f t="shared" si="1"/>
        <v>ABS</v>
      </c>
      <c r="L45" s="192" t="str">
        <f t="shared" si="2"/>
        <v>ABS</v>
      </c>
      <c r="M45" s="154" t="str">
        <f t="shared" si="3"/>
        <v>ABS</v>
      </c>
      <c r="N45" s="137" t="s">
        <v>30</v>
      </c>
      <c r="O45" s="117"/>
      <c r="P45" s="138" t="str">
        <f t="shared" si="4"/>
        <v>ABS</v>
      </c>
      <c r="Q45" s="117"/>
      <c r="R45" s="138" t="str">
        <f t="shared" si="5"/>
        <v>ABS</v>
      </c>
      <c r="S45" s="193" t="str">
        <f t="shared" si="6"/>
        <v>ABS</v>
      </c>
      <c r="T45" s="154" t="str">
        <f t="shared" si="7"/>
        <v>ABS</v>
      </c>
      <c r="U45" s="137" t="s">
        <v>32</v>
      </c>
      <c r="V45" s="117"/>
      <c r="W45" s="138" t="str">
        <f t="shared" si="8"/>
        <v>ABS</v>
      </c>
      <c r="X45" s="117"/>
      <c r="Y45" s="138" t="str">
        <f t="shared" si="9"/>
        <v>ABS</v>
      </c>
      <c r="Z45" s="193" t="str">
        <f t="shared" si="10"/>
        <v>ABS</v>
      </c>
      <c r="AA45" s="154" t="str">
        <f t="shared" si="11"/>
        <v>ABS</v>
      </c>
      <c r="AB45" s="120"/>
      <c r="AC45" s="117"/>
      <c r="AD45" s="138" t="str">
        <f t="shared" si="12"/>
        <v>ABS</v>
      </c>
      <c r="AE45" s="117"/>
      <c r="AF45" s="138" t="str">
        <f t="shared" si="13"/>
        <v>ABS</v>
      </c>
      <c r="AG45" s="193" t="str">
        <f t="shared" si="14"/>
        <v>ABS</v>
      </c>
      <c r="AH45" s="154" t="str">
        <f t="shared" si="15"/>
        <v>ABS</v>
      </c>
      <c r="AI45" s="119"/>
      <c r="AJ45" s="117"/>
      <c r="AK45" s="138" t="str">
        <f t="shared" si="16"/>
        <v>ABS</v>
      </c>
      <c r="AL45" s="117"/>
      <c r="AM45" s="138" t="str">
        <f t="shared" si="17"/>
        <v>ABS</v>
      </c>
      <c r="AN45" s="193" t="str">
        <f t="shared" si="18"/>
        <v>ABS</v>
      </c>
      <c r="AO45" s="154" t="str">
        <f t="shared" si="19"/>
        <v>ABS</v>
      </c>
      <c r="AP45" s="120"/>
      <c r="AQ45" s="117"/>
      <c r="AR45" s="138" t="str">
        <f t="shared" si="20"/>
        <v>ABS</v>
      </c>
      <c r="AS45" s="117"/>
      <c r="AT45" s="138" t="str">
        <f t="shared" si="21"/>
        <v>ABS</v>
      </c>
      <c r="AU45" s="193" t="str">
        <f t="shared" si="22"/>
        <v>ABS</v>
      </c>
      <c r="AV45" s="154" t="str">
        <f t="shared" si="23"/>
        <v>ABS</v>
      </c>
      <c r="AW45" s="139"/>
      <c r="AX45" s="140"/>
      <c r="AY45" s="141"/>
      <c r="AZ45" s="138" t="str">
        <f t="shared" si="24"/>
        <v>ABS</v>
      </c>
      <c r="BA45" s="141"/>
      <c r="BB45" s="138" t="str">
        <f t="shared" si="25"/>
        <v>ABS</v>
      </c>
      <c r="BC45" s="193" t="str">
        <f t="shared" si="26"/>
        <v>ABS</v>
      </c>
      <c r="BD45" s="188" t="str">
        <f t="shared" si="27"/>
        <v>ABS</v>
      </c>
    </row>
    <row r="46" spans="2:56" s="64" customFormat="1" ht="15.5">
      <c r="B46" s="194">
        <v>42</v>
      </c>
      <c r="C46" s="124"/>
      <c r="D46" s="147"/>
      <c r="E46" s="127"/>
      <c r="F46" s="127"/>
      <c r="G46" s="137" t="s">
        <v>23</v>
      </c>
      <c r="H46" s="117"/>
      <c r="I46" s="138" t="str">
        <f t="shared" si="0"/>
        <v>ABS</v>
      </c>
      <c r="J46" s="117"/>
      <c r="K46" s="138" t="str">
        <f t="shared" si="1"/>
        <v>ABS</v>
      </c>
      <c r="L46" s="192" t="str">
        <f t="shared" si="2"/>
        <v>ABS</v>
      </c>
      <c r="M46" s="154" t="str">
        <f t="shared" si="3"/>
        <v>ABS</v>
      </c>
      <c r="N46" s="137" t="s">
        <v>30</v>
      </c>
      <c r="O46" s="117"/>
      <c r="P46" s="138" t="str">
        <f t="shared" si="4"/>
        <v>ABS</v>
      </c>
      <c r="Q46" s="117"/>
      <c r="R46" s="138" t="str">
        <f t="shared" si="5"/>
        <v>ABS</v>
      </c>
      <c r="S46" s="193" t="str">
        <f t="shared" si="6"/>
        <v>ABS</v>
      </c>
      <c r="T46" s="154" t="str">
        <f t="shared" si="7"/>
        <v>ABS</v>
      </c>
      <c r="U46" s="137" t="s">
        <v>32</v>
      </c>
      <c r="V46" s="117"/>
      <c r="W46" s="138" t="str">
        <f t="shared" si="8"/>
        <v>ABS</v>
      </c>
      <c r="X46" s="117"/>
      <c r="Y46" s="138" t="str">
        <f t="shared" si="9"/>
        <v>ABS</v>
      </c>
      <c r="Z46" s="193" t="str">
        <f t="shared" si="10"/>
        <v>ABS</v>
      </c>
      <c r="AA46" s="154" t="str">
        <f t="shared" si="11"/>
        <v>ABS</v>
      </c>
      <c r="AB46" s="120"/>
      <c r="AC46" s="117"/>
      <c r="AD46" s="138" t="str">
        <f t="shared" si="12"/>
        <v>ABS</v>
      </c>
      <c r="AE46" s="117"/>
      <c r="AF46" s="138" t="str">
        <f t="shared" si="13"/>
        <v>ABS</v>
      </c>
      <c r="AG46" s="193" t="str">
        <f t="shared" si="14"/>
        <v>ABS</v>
      </c>
      <c r="AH46" s="154" t="str">
        <f t="shared" si="15"/>
        <v>ABS</v>
      </c>
      <c r="AI46" s="119"/>
      <c r="AJ46" s="117"/>
      <c r="AK46" s="138" t="str">
        <f t="shared" si="16"/>
        <v>ABS</v>
      </c>
      <c r="AL46" s="117"/>
      <c r="AM46" s="138" t="str">
        <f t="shared" si="17"/>
        <v>ABS</v>
      </c>
      <c r="AN46" s="193" t="str">
        <f t="shared" si="18"/>
        <v>ABS</v>
      </c>
      <c r="AO46" s="154" t="str">
        <f t="shared" si="19"/>
        <v>ABS</v>
      </c>
      <c r="AP46" s="120"/>
      <c r="AQ46" s="117"/>
      <c r="AR46" s="138" t="str">
        <f t="shared" si="20"/>
        <v>ABS</v>
      </c>
      <c r="AS46" s="117"/>
      <c r="AT46" s="138" t="str">
        <f t="shared" si="21"/>
        <v>ABS</v>
      </c>
      <c r="AU46" s="193" t="str">
        <f t="shared" si="22"/>
        <v>ABS</v>
      </c>
      <c r="AV46" s="154" t="str">
        <f t="shared" si="23"/>
        <v>ABS</v>
      </c>
      <c r="AW46" s="139"/>
      <c r="AX46" s="140"/>
      <c r="AY46" s="141"/>
      <c r="AZ46" s="138" t="str">
        <f t="shared" si="24"/>
        <v>ABS</v>
      </c>
      <c r="BA46" s="141"/>
      <c r="BB46" s="138" t="str">
        <f t="shared" si="25"/>
        <v>ABS</v>
      </c>
      <c r="BC46" s="193" t="str">
        <f t="shared" si="26"/>
        <v>ABS</v>
      </c>
      <c r="BD46" s="188" t="str">
        <f t="shared" si="27"/>
        <v>ABS</v>
      </c>
    </row>
    <row r="47" spans="2:56" s="64" customFormat="1" ht="15.5">
      <c r="B47" s="194">
        <v>43</v>
      </c>
      <c r="C47" s="124"/>
      <c r="D47" s="147"/>
      <c r="E47" s="127"/>
      <c r="F47" s="127"/>
      <c r="G47" s="137" t="s">
        <v>23</v>
      </c>
      <c r="H47" s="117"/>
      <c r="I47" s="138" t="str">
        <f t="shared" si="0"/>
        <v>ABS</v>
      </c>
      <c r="J47" s="117"/>
      <c r="K47" s="138" t="str">
        <f t="shared" si="1"/>
        <v>ABS</v>
      </c>
      <c r="L47" s="192" t="str">
        <f t="shared" si="2"/>
        <v>ABS</v>
      </c>
      <c r="M47" s="154" t="str">
        <f t="shared" si="3"/>
        <v>ABS</v>
      </c>
      <c r="N47" s="137" t="s">
        <v>30</v>
      </c>
      <c r="O47" s="117"/>
      <c r="P47" s="138" t="str">
        <f t="shared" si="4"/>
        <v>ABS</v>
      </c>
      <c r="Q47" s="117"/>
      <c r="R47" s="138" t="str">
        <f t="shared" si="5"/>
        <v>ABS</v>
      </c>
      <c r="S47" s="193" t="str">
        <f t="shared" si="6"/>
        <v>ABS</v>
      </c>
      <c r="T47" s="154" t="str">
        <f t="shared" si="7"/>
        <v>ABS</v>
      </c>
      <c r="U47" s="137" t="s">
        <v>32</v>
      </c>
      <c r="V47" s="117"/>
      <c r="W47" s="138" t="str">
        <f t="shared" si="8"/>
        <v>ABS</v>
      </c>
      <c r="X47" s="117"/>
      <c r="Y47" s="138" t="str">
        <f t="shared" si="9"/>
        <v>ABS</v>
      </c>
      <c r="Z47" s="193" t="str">
        <f t="shared" si="10"/>
        <v>ABS</v>
      </c>
      <c r="AA47" s="154" t="str">
        <f t="shared" si="11"/>
        <v>ABS</v>
      </c>
      <c r="AB47" s="120"/>
      <c r="AC47" s="117"/>
      <c r="AD47" s="138" t="str">
        <f t="shared" si="12"/>
        <v>ABS</v>
      </c>
      <c r="AE47" s="117"/>
      <c r="AF47" s="138" t="str">
        <f t="shared" si="13"/>
        <v>ABS</v>
      </c>
      <c r="AG47" s="193" t="str">
        <f t="shared" si="14"/>
        <v>ABS</v>
      </c>
      <c r="AH47" s="154" t="str">
        <f t="shared" si="15"/>
        <v>ABS</v>
      </c>
      <c r="AI47" s="119"/>
      <c r="AJ47" s="117"/>
      <c r="AK47" s="138" t="str">
        <f t="shared" si="16"/>
        <v>ABS</v>
      </c>
      <c r="AL47" s="117"/>
      <c r="AM47" s="138" t="str">
        <f t="shared" si="17"/>
        <v>ABS</v>
      </c>
      <c r="AN47" s="193" t="str">
        <f t="shared" si="18"/>
        <v>ABS</v>
      </c>
      <c r="AO47" s="154" t="str">
        <f t="shared" si="19"/>
        <v>ABS</v>
      </c>
      <c r="AP47" s="120"/>
      <c r="AQ47" s="117"/>
      <c r="AR47" s="138" t="str">
        <f t="shared" si="20"/>
        <v>ABS</v>
      </c>
      <c r="AS47" s="117"/>
      <c r="AT47" s="138" t="str">
        <f t="shared" si="21"/>
        <v>ABS</v>
      </c>
      <c r="AU47" s="193" t="str">
        <f t="shared" si="22"/>
        <v>ABS</v>
      </c>
      <c r="AV47" s="154" t="str">
        <f t="shared" si="23"/>
        <v>ABS</v>
      </c>
      <c r="AW47" s="139"/>
      <c r="AX47" s="140"/>
      <c r="AY47" s="141"/>
      <c r="AZ47" s="138" t="str">
        <f t="shared" si="24"/>
        <v>ABS</v>
      </c>
      <c r="BA47" s="141"/>
      <c r="BB47" s="138" t="str">
        <f t="shared" si="25"/>
        <v>ABS</v>
      </c>
      <c r="BC47" s="193" t="str">
        <f t="shared" si="26"/>
        <v>ABS</v>
      </c>
      <c r="BD47" s="188" t="str">
        <f t="shared" si="27"/>
        <v>ABS</v>
      </c>
    </row>
    <row r="48" spans="2:56" s="64" customFormat="1" ht="15.5">
      <c r="B48" s="194">
        <v>44</v>
      </c>
      <c r="C48" s="124"/>
      <c r="D48" s="147"/>
      <c r="E48" s="127"/>
      <c r="F48" s="127"/>
      <c r="G48" s="137" t="s">
        <v>23</v>
      </c>
      <c r="H48" s="117"/>
      <c r="I48" s="138" t="str">
        <f t="shared" si="0"/>
        <v>ABS</v>
      </c>
      <c r="J48" s="117"/>
      <c r="K48" s="138" t="str">
        <f t="shared" si="1"/>
        <v>ABS</v>
      </c>
      <c r="L48" s="192" t="str">
        <f t="shared" si="2"/>
        <v>ABS</v>
      </c>
      <c r="M48" s="154" t="str">
        <f t="shared" si="3"/>
        <v>ABS</v>
      </c>
      <c r="N48" s="137" t="s">
        <v>30</v>
      </c>
      <c r="O48" s="117"/>
      <c r="P48" s="138" t="str">
        <f t="shared" si="4"/>
        <v>ABS</v>
      </c>
      <c r="Q48" s="117"/>
      <c r="R48" s="138" t="str">
        <f t="shared" si="5"/>
        <v>ABS</v>
      </c>
      <c r="S48" s="193" t="str">
        <f t="shared" si="6"/>
        <v>ABS</v>
      </c>
      <c r="T48" s="154" t="str">
        <f t="shared" si="7"/>
        <v>ABS</v>
      </c>
      <c r="U48" s="137" t="s">
        <v>32</v>
      </c>
      <c r="V48" s="117"/>
      <c r="W48" s="138" t="str">
        <f t="shared" si="8"/>
        <v>ABS</v>
      </c>
      <c r="X48" s="117"/>
      <c r="Y48" s="138" t="str">
        <f t="shared" si="9"/>
        <v>ABS</v>
      </c>
      <c r="Z48" s="193" t="str">
        <f t="shared" si="10"/>
        <v>ABS</v>
      </c>
      <c r="AA48" s="154" t="str">
        <f t="shared" si="11"/>
        <v>ABS</v>
      </c>
      <c r="AB48" s="120"/>
      <c r="AC48" s="117"/>
      <c r="AD48" s="138" t="str">
        <f t="shared" si="12"/>
        <v>ABS</v>
      </c>
      <c r="AE48" s="117"/>
      <c r="AF48" s="138" t="str">
        <f t="shared" si="13"/>
        <v>ABS</v>
      </c>
      <c r="AG48" s="193" t="str">
        <f t="shared" si="14"/>
        <v>ABS</v>
      </c>
      <c r="AH48" s="154" t="str">
        <f t="shared" si="15"/>
        <v>ABS</v>
      </c>
      <c r="AI48" s="119"/>
      <c r="AJ48" s="117"/>
      <c r="AK48" s="138" t="str">
        <f t="shared" si="16"/>
        <v>ABS</v>
      </c>
      <c r="AL48" s="117"/>
      <c r="AM48" s="138" t="str">
        <f t="shared" si="17"/>
        <v>ABS</v>
      </c>
      <c r="AN48" s="193" t="str">
        <f t="shared" si="18"/>
        <v>ABS</v>
      </c>
      <c r="AO48" s="154" t="str">
        <f t="shared" si="19"/>
        <v>ABS</v>
      </c>
      <c r="AP48" s="120"/>
      <c r="AQ48" s="117"/>
      <c r="AR48" s="138" t="str">
        <f t="shared" si="20"/>
        <v>ABS</v>
      </c>
      <c r="AS48" s="117"/>
      <c r="AT48" s="138" t="str">
        <f t="shared" si="21"/>
        <v>ABS</v>
      </c>
      <c r="AU48" s="193" t="str">
        <f t="shared" si="22"/>
        <v>ABS</v>
      </c>
      <c r="AV48" s="154" t="str">
        <f t="shared" si="23"/>
        <v>ABS</v>
      </c>
      <c r="AW48" s="139"/>
      <c r="AX48" s="140"/>
      <c r="AY48" s="141"/>
      <c r="AZ48" s="138" t="str">
        <f t="shared" si="24"/>
        <v>ABS</v>
      </c>
      <c r="BA48" s="141"/>
      <c r="BB48" s="138" t="str">
        <f t="shared" si="25"/>
        <v>ABS</v>
      </c>
      <c r="BC48" s="193" t="str">
        <f t="shared" si="26"/>
        <v>ABS</v>
      </c>
      <c r="BD48" s="188" t="str">
        <f t="shared" si="27"/>
        <v>ABS</v>
      </c>
    </row>
    <row r="49" spans="2:56" s="64" customFormat="1" ht="15.5">
      <c r="B49" s="194">
        <v>45</v>
      </c>
      <c r="C49" s="124"/>
      <c r="D49" s="147"/>
      <c r="E49" s="127"/>
      <c r="F49" s="127"/>
      <c r="G49" s="137" t="s">
        <v>23</v>
      </c>
      <c r="H49" s="117"/>
      <c r="I49" s="138" t="str">
        <f t="shared" si="0"/>
        <v>ABS</v>
      </c>
      <c r="J49" s="117"/>
      <c r="K49" s="138" t="str">
        <f t="shared" si="1"/>
        <v>ABS</v>
      </c>
      <c r="L49" s="192" t="str">
        <f t="shared" si="2"/>
        <v>ABS</v>
      </c>
      <c r="M49" s="154" t="str">
        <f t="shared" si="3"/>
        <v>ABS</v>
      </c>
      <c r="N49" s="137" t="s">
        <v>30</v>
      </c>
      <c r="O49" s="117"/>
      <c r="P49" s="138" t="str">
        <f t="shared" si="4"/>
        <v>ABS</v>
      </c>
      <c r="Q49" s="117"/>
      <c r="R49" s="138" t="str">
        <f t="shared" si="5"/>
        <v>ABS</v>
      </c>
      <c r="S49" s="193" t="str">
        <f t="shared" si="6"/>
        <v>ABS</v>
      </c>
      <c r="T49" s="154" t="str">
        <f t="shared" si="7"/>
        <v>ABS</v>
      </c>
      <c r="U49" s="137" t="s">
        <v>32</v>
      </c>
      <c r="V49" s="117"/>
      <c r="W49" s="138" t="str">
        <f t="shared" si="8"/>
        <v>ABS</v>
      </c>
      <c r="X49" s="117"/>
      <c r="Y49" s="138" t="str">
        <f t="shared" si="9"/>
        <v>ABS</v>
      </c>
      <c r="Z49" s="193" t="str">
        <f t="shared" si="10"/>
        <v>ABS</v>
      </c>
      <c r="AA49" s="154" t="str">
        <f t="shared" si="11"/>
        <v>ABS</v>
      </c>
      <c r="AB49" s="120"/>
      <c r="AC49" s="117"/>
      <c r="AD49" s="138" t="str">
        <f t="shared" si="12"/>
        <v>ABS</v>
      </c>
      <c r="AE49" s="117"/>
      <c r="AF49" s="138" t="str">
        <f t="shared" si="13"/>
        <v>ABS</v>
      </c>
      <c r="AG49" s="193" t="str">
        <f t="shared" si="14"/>
        <v>ABS</v>
      </c>
      <c r="AH49" s="154" t="str">
        <f t="shared" si="15"/>
        <v>ABS</v>
      </c>
      <c r="AI49" s="119"/>
      <c r="AJ49" s="117"/>
      <c r="AK49" s="138" t="str">
        <f t="shared" si="16"/>
        <v>ABS</v>
      </c>
      <c r="AL49" s="117"/>
      <c r="AM49" s="138" t="str">
        <f t="shared" si="17"/>
        <v>ABS</v>
      </c>
      <c r="AN49" s="193" t="str">
        <f t="shared" si="18"/>
        <v>ABS</v>
      </c>
      <c r="AO49" s="154" t="str">
        <f t="shared" si="19"/>
        <v>ABS</v>
      </c>
      <c r="AP49" s="120"/>
      <c r="AQ49" s="117"/>
      <c r="AR49" s="138" t="str">
        <f t="shared" si="20"/>
        <v>ABS</v>
      </c>
      <c r="AS49" s="117"/>
      <c r="AT49" s="138" t="str">
        <f t="shared" si="21"/>
        <v>ABS</v>
      </c>
      <c r="AU49" s="193" t="str">
        <f t="shared" si="22"/>
        <v>ABS</v>
      </c>
      <c r="AV49" s="154" t="str">
        <f t="shared" si="23"/>
        <v>ABS</v>
      </c>
      <c r="AW49" s="139"/>
      <c r="AX49" s="140"/>
      <c r="AY49" s="141"/>
      <c r="AZ49" s="138" t="str">
        <f t="shared" si="24"/>
        <v>ABS</v>
      </c>
      <c r="BA49" s="141"/>
      <c r="BB49" s="138" t="str">
        <f t="shared" si="25"/>
        <v>ABS</v>
      </c>
      <c r="BC49" s="193" t="str">
        <f t="shared" si="26"/>
        <v>ABS</v>
      </c>
      <c r="BD49" s="188" t="str">
        <f t="shared" si="27"/>
        <v>ABS</v>
      </c>
    </row>
    <row r="50" spans="2:56" s="64" customFormat="1" ht="15.5">
      <c r="B50" s="194">
        <v>46</v>
      </c>
      <c r="C50" s="124"/>
      <c r="D50" s="147"/>
      <c r="E50" s="127"/>
      <c r="F50" s="127"/>
      <c r="G50" s="137" t="s">
        <v>23</v>
      </c>
      <c r="H50" s="117"/>
      <c r="I50" s="138" t="str">
        <f t="shared" si="0"/>
        <v>ABS</v>
      </c>
      <c r="J50" s="117"/>
      <c r="K50" s="138" t="str">
        <f t="shared" si="1"/>
        <v>ABS</v>
      </c>
      <c r="L50" s="192" t="str">
        <f t="shared" si="2"/>
        <v>ABS</v>
      </c>
      <c r="M50" s="154" t="str">
        <f t="shared" si="3"/>
        <v>ABS</v>
      </c>
      <c r="N50" s="137" t="s">
        <v>30</v>
      </c>
      <c r="O50" s="117"/>
      <c r="P50" s="138" t="str">
        <f t="shared" si="4"/>
        <v>ABS</v>
      </c>
      <c r="Q50" s="117"/>
      <c r="R50" s="138" t="str">
        <f t="shared" si="5"/>
        <v>ABS</v>
      </c>
      <c r="S50" s="193" t="str">
        <f t="shared" si="6"/>
        <v>ABS</v>
      </c>
      <c r="T50" s="154" t="str">
        <f t="shared" si="7"/>
        <v>ABS</v>
      </c>
      <c r="U50" s="137" t="s">
        <v>32</v>
      </c>
      <c r="V50" s="117"/>
      <c r="W50" s="138" t="str">
        <f t="shared" si="8"/>
        <v>ABS</v>
      </c>
      <c r="X50" s="117"/>
      <c r="Y50" s="138" t="str">
        <f t="shared" si="9"/>
        <v>ABS</v>
      </c>
      <c r="Z50" s="193" t="str">
        <f t="shared" si="10"/>
        <v>ABS</v>
      </c>
      <c r="AA50" s="154" t="str">
        <f t="shared" si="11"/>
        <v>ABS</v>
      </c>
      <c r="AB50" s="120"/>
      <c r="AC50" s="117"/>
      <c r="AD50" s="138" t="str">
        <f t="shared" si="12"/>
        <v>ABS</v>
      </c>
      <c r="AE50" s="117"/>
      <c r="AF50" s="138" t="str">
        <f t="shared" si="13"/>
        <v>ABS</v>
      </c>
      <c r="AG50" s="193" t="str">
        <f t="shared" si="14"/>
        <v>ABS</v>
      </c>
      <c r="AH50" s="154" t="str">
        <f t="shared" si="15"/>
        <v>ABS</v>
      </c>
      <c r="AI50" s="119"/>
      <c r="AJ50" s="117"/>
      <c r="AK50" s="138" t="str">
        <f t="shared" si="16"/>
        <v>ABS</v>
      </c>
      <c r="AL50" s="117"/>
      <c r="AM50" s="138" t="str">
        <f t="shared" si="17"/>
        <v>ABS</v>
      </c>
      <c r="AN50" s="193" t="str">
        <f t="shared" si="18"/>
        <v>ABS</v>
      </c>
      <c r="AO50" s="154" t="str">
        <f t="shared" si="19"/>
        <v>ABS</v>
      </c>
      <c r="AP50" s="120"/>
      <c r="AQ50" s="117"/>
      <c r="AR50" s="138" t="str">
        <f t="shared" si="20"/>
        <v>ABS</v>
      </c>
      <c r="AS50" s="117"/>
      <c r="AT50" s="138" t="str">
        <f t="shared" si="21"/>
        <v>ABS</v>
      </c>
      <c r="AU50" s="193" t="str">
        <f t="shared" si="22"/>
        <v>ABS</v>
      </c>
      <c r="AV50" s="154" t="str">
        <f t="shared" si="23"/>
        <v>ABS</v>
      </c>
      <c r="AW50" s="139"/>
      <c r="AX50" s="140"/>
      <c r="AY50" s="141"/>
      <c r="AZ50" s="138" t="str">
        <f t="shared" si="24"/>
        <v>ABS</v>
      </c>
      <c r="BA50" s="141"/>
      <c r="BB50" s="138" t="str">
        <f t="shared" si="25"/>
        <v>ABS</v>
      </c>
      <c r="BC50" s="193" t="str">
        <f t="shared" si="26"/>
        <v>ABS</v>
      </c>
      <c r="BD50" s="188" t="str">
        <f t="shared" si="27"/>
        <v>ABS</v>
      </c>
    </row>
    <row r="51" spans="2:56" s="64" customFormat="1" ht="15.5">
      <c r="B51" s="194">
        <v>47</v>
      </c>
      <c r="C51" s="124"/>
      <c r="D51" s="147"/>
      <c r="E51" s="127"/>
      <c r="F51" s="127"/>
      <c r="G51" s="137" t="s">
        <v>23</v>
      </c>
      <c r="H51" s="117"/>
      <c r="I51" s="138" t="str">
        <f t="shared" si="0"/>
        <v>ABS</v>
      </c>
      <c r="J51" s="117"/>
      <c r="K51" s="138" t="str">
        <f t="shared" si="1"/>
        <v>ABS</v>
      </c>
      <c r="L51" s="192" t="str">
        <f t="shared" si="2"/>
        <v>ABS</v>
      </c>
      <c r="M51" s="154" t="str">
        <f t="shared" si="3"/>
        <v>ABS</v>
      </c>
      <c r="N51" s="137" t="s">
        <v>30</v>
      </c>
      <c r="O51" s="117"/>
      <c r="P51" s="138" t="str">
        <f t="shared" si="4"/>
        <v>ABS</v>
      </c>
      <c r="Q51" s="117"/>
      <c r="R51" s="138" t="str">
        <f t="shared" si="5"/>
        <v>ABS</v>
      </c>
      <c r="S51" s="193" t="str">
        <f t="shared" si="6"/>
        <v>ABS</v>
      </c>
      <c r="T51" s="154" t="str">
        <f t="shared" si="7"/>
        <v>ABS</v>
      </c>
      <c r="U51" s="137" t="s">
        <v>32</v>
      </c>
      <c r="V51" s="117"/>
      <c r="W51" s="138" t="str">
        <f t="shared" si="8"/>
        <v>ABS</v>
      </c>
      <c r="X51" s="117"/>
      <c r="Y51" s="138" t="str">
        <f t="shared" si="9"/>
        <v>ABS</v>
      </c>
      <c r="Z51" s="193" t="str">
        <f t="shared" si="10"/>
        <v>ABS</v>
      </c>
      <c r="AA51" s="154" t="str">
        <f t="shared" si="11"/>
        <v>ABS</v>
      </c>
      <c r="AB51" s="120"/>
      <c r="AC51" s="117"/>
      <c r="AD51" s="138" t="str">
        <f t="shared" si="12"/>
        <v>ABS</v>
      </c>
      <c r="AE51" s="117"/>
      <c r="AF51" s="138" t="str">
        <f t="shared" si="13"/>
        <v>ABS</v>
      </c>
      <c r="AG51" s="193" t="str">
        <f t="shared" si="14"/>
        <v>ABS</v>
      </c>
      <c r="AH51" s="154" t="str">
        <f t="shared" si="15"/>
        <v>ABS</v>
      </c>
      <c r="AI51" s="119"/>
      <c r="AJ51" s="117"/>
      <c r="AK51" s="138" t="str">
        <f t="shared" si="16"/>
        <v>ABS</v>
      </c>
      <c r="AL51" s="117"/>
      <c r="AM51" s="138" t="str">
        <f t="shared" si="17"/>
        <v>ABS</v>
      </c>
      <c r="AN51" s="193" t="str">
        <f t="shared" si="18"/>
        <v>ABS</v>
      </c>
      <c r="AO51" s="154" t="str">
        <f t="shared" si="19"/>
        <v>ABS</v>
      </c>
      <c r="AP51" s="120"/>
      <c r="AQ51" s="117"/>
      <c r="AR51" s="138" t="str">
        <f t="shared" si="20"/>
        <v>ABS</v>
      </c>
      <c r="AS51" s="117"/>
      <c r="AT51" s="138" t="str">
        <f t="shared" si="21"/>
        <v>ABS</v>
      </c>
      <c r="AU51" s="193" t="str">
        <f t="shared" si="22"/>
        <v>ABS</v>
      </c>
      <c r="AV51" s="154" t="str">
        <f t="shared" si="23"/>
        <v>ABS</v>
      </c>
      <c r="AW51" s="139"/>
      <c r="AX51" s="140"/>
      <c r="AY51" s="141"/>
      <c r="AZ51" s="138" t="str">
        <f t="shared" si="24"/>
        <v>ABS</v>
      </c>
      <c r="BA51" s="141"/>
      <c r="BB51" s="138" t="str">
        <f t="shared" si="25"/>
        <v>ABS</v>
      </c>
      <c r="BC51" s="193" t="str">
        <f t="shared" si="26"/>
        <v>ABS</v>
      </c>
      <c r="BD51" s="188" t="str">
        <f t="shared" si="27"/>
        <v>ABS</v>
      </c>
    </row>
    <row r="52" spans="2:56" s="64" customFormat="1" ht="15.5">
      <c r="B52" s="194">
        <v>48</v>
      </c>
      <c r="C52" s="124"/>
      <c r="D52" s="147"/>
      <c r="E52" s="127"/>
      <c r="F52" s="127"/>
      <c r="G52" s="137" t="s">
        <v>23</v>
      </c>
      <c r="H52" s="117"/>
      <c r="I52" s="138" t="str">
        <f t="shared" si="0"/>
        <v>ABS</v>
      </c>
      <c r="J52" s="117"/>
      <c r="K52" s="138" t="str">
        <f t="shared" si="1"/>
        <v>ABS</v>
      </c>
      <c r="L52" s="192" t="str">
        <f t="shared" si="2"/>
        <v>ABS</v>
      </c>
      <c r="M52" s="154" t="str">
        <f t="shared" si="3"/>
        <v>ABS</v>
      </c>
      <c r="N52" s="137" t="s">
        <v>30</v>
      </c>
      <c r="O52" s="117"/>
      <c r="P52" s="138" t="str">
        <f t="shared" si="4"/>
        <v>ABS</v>
      </c>
      <c r="Q52" s="117"/>
      <c r="R52" s="138" t="str">
        <f t="shared" si="5"/>
        <v>ABS</v>
      </c>
      <c r="S52" s="193" t="str">
        <f t="shared" si="6"/>
        <v>ABS</v>
      </c>
      <c r="T52" s="154" t="str">
        <f t="shared" si="7"/>
        <v>ABS</v>
      </c>
      <c r="U52" s="137" t="s">
        <v>32</v>
      </c>
      <c r="V52" s="117"/>
      <c r="W52" s="138" t="str">
        <f t="shared" si="8"/>
        <v>ABS</v>
      </c>
      <c r="X52" s="117"/>
      <c r="Y52" s="138" t="str">
        <f t="shared" si="9"/>
        <v>ABS</v>
      </c>
      <c r="Z52" s="193" t="str">
        <f t="shared" si="10"/>
        <v>ABS</v>
      </c>
      <c r="AA52" s="154" t="str">
        <f t="shared" si="11"/>
        <v>ABS</v>
      </c>
      <c r="AB52" s="120"/>
      <c r="AC52" s="117"/>
      <c r="AD52" s="138" t="str">
        <f t="shared" si="12"/>
        <v>ABS</v>
      </c>
      <c r="AE52" s="117"/>
      <c r="AF52" s="138" t="str">
        <f t="shared" si="13"/>
        <v>ABS</v>
      </c>
      <c r="AG52" s="193" t="str">
        <f t="shared" si="14"/>
        <v>ABS</v>
      </c>
      <c r="AH52" s="154" t="str">
        <f t="shared" si="15"/>
        <v>ABS</v>
      </c>
      <c r="AI52" s="119"/>
      <c r="AJ52" s="117"/>
      <c r="AK52" s="138" t="str">
        <f t="shared" si="16"/>
        <v>ABS</v>
      </c>
      <c r="AL52" s="117"/>
      <c r="AM52" s="138" t="str">
        <f t="shared" si="17"/>
        <v>ABS</v>
      </c>
      <c r="AN52" s="193" t="str">
        <f t="shared" si="18"/>
        <v>ABS</v>
      </c>
      <c r="AO52" s="154" t="str">
        <f t="shared" si="19"/>
        <v>ABS</v>
      </c>
      <c r="AP52" s="120"/>
      <c r="AQ52" s="117"/>
      <c r="AR52" s="138" t="str">
        <f t="shared" si="20"/>
        <v>ABS</v>
      </c>
      <c r="AS52" s="117"/>
      <c r="AT52" s="138" t="str">
        <f t="shared" si="21"/>
        <v>ABS</v>
      </c>
      <c r="AU52" s="193" t="str">
        <f t="shared" si="22"/>
        <v>ABS</v>
      </c>
      <c r="AV52" s="154" t="str">
        <f t="shared" si="23"/>
        <v>ABS</v>
      </c>
      <c r="AW52" s="139"/>
      <c r="AX52" s="140"/>
      <c r="AY52" s="141"/>
      <c r="AZ52" s="138" t="str">
        <f t="shared" si="24"/>
        <v>ABS</v>
      </c>
      <c r="BA52" s="141"/>
      <c r="BB52" s="138" t="str">
        <f t="shared" si="25"/>
        <v>ABS</v>
      </c>
      <c r="BC52" s="193" t="str">
        <f t="shared" si="26"/>
        <v>ABS</v>
      </c>
      <c r="BD52" s="188" t="str">
        <f t="shared" si="27"/>
        <v>ABS</v>
      </c>
    </row>
    <row r="53" spans="2:56" s="64" customFormat="1" ht="15.5">
      <c r="B53" s="194">
        <v>49</v>
      </c>
      <c r="C53" s="124"/>
      <c r="D53" s="147"/>
      <c r="E53" s="127"/>
      <c r="F53" s="127"/>
      <c r="G53" s="137" t="s">
        <v>23</v>
      </c>
      <c r="H53" s="117"/>
      <c r="I53" s="138" t="str">
        <f t="shared" si="0"/>
        <v>ABS</v>
      </c>
      <c r="J53" s="117"/>
      <c r="K53" s="138" t="str">
        <f t="shared" si="1"/>
        <v>ABS</v>
      </c>
      <c r="L53" s="192" t="str">
        <f t="shared" si="2"/>
        <v>ABS</v>
      </c>
      <c r="M53" s="154" t="str">
        <f t="shared" si="3"/>
        <v>ABS</v>
      </c>
      <c r="N53" s="137" t="s">
        <v>30</v>
      </c>
      <c r="O53" s="117"/>
      <c r="P53" s="138" t="str">
        <f t="shared" si="4"/>
        <v>ABS</v>
      </c>
      <c r="Q53" s="117"/>
      <c r="R53" s="138" t="str">
        <f t="shared" si="5"/>
        <v>ABS</v>
      </c>
      <c r="S53" s="193" t="str">
        <f t="shared" si="6"/>
        <v>ABS</v>
      </c>
      <c r="T53" s="154" t="str">
        <f t="shared" si="7"/>
        <v>ABS</v>
      </c>
      <c r="U53" s="137" t="s">
        <v>32</v>
      </c>
      <c r="V53" s="117"/>
      <c r="W53" s="138" t="str">
        <f t="shared" si="8"/>
        <v>ABS</v>
      </c>
      <c r="X53" s="117"/>
      <c r="Y53" s="138" t="str">
        <f t="shared" si="9"/>
        <v>ABS</v>
      </c>
      <c r="Z53" s="193" t="str">
        <f t="shared" si="10"/>
        <v>ABS</v>
      </c>
      <c r="AA53" s="154" t="str">
        <f t="shared" si="11"/>
        <v>ABS</v>
      </c>
      <c r="AB53" s="120"/>
      <c r="AC53" s="117"/>
      <c r="AD53" s="138" t="str">
        <f t="shared" si="12"/>
        <v>ABS</v>
      </c>
      <c r="AE53" s="117"/>
      <c r="AF53" s="138" t="str">
        <f t="shared" si="13"/>
        <v>ABS</v>
      </c>
      <c r="AG53" s="193" t="str">
        <f t="shared" si="14"/>
        <v>ABS</v>
      </c>
      <c r="AH53" s="154" t="str">
        <f t="shared" si="15"/>
        <v>ABS</v>
      </c>
      <c r="AI53" s="119"/>
      <c r="AJ53" s="117"/>
      <c r="AK53" s="138" t="str">
        <f t="shared" si="16"/>
        <v>ABS</v>
      </c>
      <c r="AL53" s="117"/>
      <c r="AM53" s="138" t="str">
        <f t="shared" si="17"/>
        <v>ABS</v>
      </c>
      <c r="AN53" s="193" t="str">
        <f t="shared" si="18"/>
        <v>ABS</v>
      </c>
      <c r="AO53" s="154" t="str">
        <f t="shared" si="19"/>
        <v>ABS</v>
      </c>
      <c r="AP53" s="120"/>
      <c r="AQ53" s="117"/>
      <c r="AR53" s="138" t="str">
        <f t="shared" si="20"/>
        <v>ABS</v>
      </c>
      <c r="AS53" s="117"/>
      <c r="AT53" s="138" t="str">
        <f t="shared" si="21"/>
        <v>ABS</v>
      </c>
      <c r="AU53" s="193" t="str">
        <f t="shared" si="22"/>
        <v>ABS</v>
      </c>
      <c r="AV53" s="154" t="str">
        <f t="shared" si="23"/>
        <v>ABS</v>
      </c>
      <c r="AW53" s="139"/>
      <c r="AX53" s="140"/>
      <c r="AY53" s="141"/>
      <c r="AZ53" s="138" t="str">
        <f t="shared" si="24"/>
        <v>ABS</v>
      </c>
      <c r="BA53" s="141"/>
      <c r="BB53" s="138" t="str">
        <f t="shared" si="25"/>
        <v>ABS</v>
      </c>
      <c r="BC53" s="193" t="str">
        <f t="shared" si="26"/>
        <v>ABS</v>
      </c>
      <c r="BD53" s="188" t="str">
        <f t="shared" si="27"/>
        <v>ABS</v>
      </c>
    </row>
    <row r="54" spans="2:56" s="64" customFormat="1" ht="15.5">
      <c r="B54" s="194">
        <v>50</v>
      </c>
      <c r="C54" s="124"/>
      <c r="D54" s="147"/>
      <c r="E54" s="127"/>
      <c r="F54" s="127"/>
      <c r="G54" s="137" t="s">
        <v>23</v>
      </c>
      <c r="H54" s="117"/>
      <c r="I54" s="138" t="str">
        <f t="shared" si="0"/>
        <v>ABS</v>
      </c>
      <c r="J54" s="117"/>
      <c r="K54" s="138" t="str">
        <f t="shared" si="1"/>
        <v>ABS</v>
      </c>
      <c r="L54" s="192" t="str">
        <f t="shared" si="2"/>
        <v>ABS</v>
      </c>
      <c r="M54" s="154" t="str">
        <f t="shared" si="3"/>
        <v>ABS</v>
      </c>
      <c r="N54" s="137" t="s">
        <v>30</v>
      </c>
      <c r="O54" s="117"/>
      <c r="P54" s="138" t="str">
        <f t="shared" si="4"/>
        <v>ABS</v>
      </c>
      <c r="Q54" s="117"/>
      <c r="R54" s="138" t="str">
        <f t="shared" si="5"/>
        <v>ABS</v>
      </c>
      <c r="S54" s="193" t="str">
        <f t="shared" si="6"/>
        <v>ABS</v>
      </c>
      <c r="T54" s="154" t="str">
        <f t="shared" si="7"/>
        <v>ABS</v>
      </c>
      <c r="U54" s="137" t="s">
        <v>32</v>
      </c>
      <c r="V54" s="117"/>
      <c r="W54" s="138" t="str">
        <f t="shared" si="8"/>
        <v>ABS</v>
      </c>
      <c r="X54" s="117"/>
      <c r="Y54" s="138" t="str">
        <f t="shared" si="9"/>
        <v>ABS</v>
      </c>
      <c r="Z54" s="193" t="str">
        <f t="shared" si="10"/>
        <v>ABS</v>
      </c>
      <c r="AA54" s="154" t="str">
        <f t="shared" si="11"/>
        <v>ABS</v>
      </c>
      <c r="AB54" s="120"/>
      <c r="AC54" s="117"/>
      <c r="AD54" s="138" t="str">
        <f t="shared" si="12"/>
        <v>ABS</v>
      </c>
      <c r="AE54" s="117"/>
      <c r="AF54" s="138" t="str">
        <f t="shared" si="13"/>
        <v>ABS</v>
      </c>
      <c r="AG54" s="193" t="str">
        <f t="shared" si="14"/>
        <v>ABS</v>
      </c>
      <c r="AH54" s="154" t="str">
        <f t="shared" si="15"/>
        <v>ABS</v>
      </c>
      <c r="AI54" s="119"/>
      <c r="AJ54" s="117"/>
      <c r="AK54" s="138" t="str">
        <f t="shared" si="16"/>
        <v>ABS</v>
      </c>
      <c r="AL54" s="117"/>
      <c r="AM54" s="138" t="str">
        <f t="shared" si="17"/>
        <v>ABS</v>
      </c>
      <c r="AN54" s="193" t="str">
        <f t="shared" si="18"/>
        <v>ABS</v>
      </c>
      <c r="AO54" s="154" t="str">
        <f t="shared" si="19"/>
        <v>ABS</v>
      </c>
      <c r="AP54" s="120"/>
      <c r="AQ54" s="117"/>
      <c r="AR54" s="138" t="str">
        <f t="shared" si="20"/>
        <v>ABS</v>
      </c>
      <c r="AS54" s="117"/>
      <c r="AT54" s="138" t="str">
        <f t="shared" si="21"/>
        <v>ABS</v>
      </c>
      <c r="AU54" s="193" t="str">
        <f t="shared" si="22"/>
        <v>ABS</v>
      </c>
      <c r="AV54" s="154" t="str">
        <f t="shared" si="23"/>
        <v>ABS</v>
      </c>
      <c r="AW54" s="139"/>
      <c r="AX54" s="140"/>
      <c r="AY54" s="141"/>
      <c r="AZ54" s="138" t="str">
        <f t="shared" si="24"/>
        <v>ABS</v>
      </c>
      <c r="BA54" s="141"/>
      <c r="BB54" s="138" t="str">
        <f t="shared" si="25"/>
        <v>ABS</v>
      </c>
      <c r="BC54" s="193" t="str">
        <f t="shared" si="26"/>
        <v>ABS</v>
      </c>
      <c r="BD54" s="188" t="str">
        <f t="shared" si="27"/>
        <v>ABS</v>
      </c>
    </row>
    <row r="55" spans="2:56" s="64" customFormat="1" ht="15.5">
      <c r="B55" s="194">
        <v>51</v>
      </c>
      <c r="C55" s="124"/>
      <c r="D55" s="147"/>
      <c r="E55" s="127"/>
      <c r="F55" s="127"/>
      <c r="G55" s="137" t="s">
        <v>23</v>
      </c>
      <c r="H55" s="117"/>
      <c r="I55" s="138" t="str">
        <f t="shared" si="0"/>
        <v>ABS</v>
      </c>
      <c r="J55" s="117"/>
      <c r="K55" s="138" t="str">
        <f t="shared" si="1"/>
        <v>ABS</v>
      </c>
      <c r="L55" s="192" t="str">
        <f t="shared" si="2"/>
        <v>ABS</v>
      </c>
      <c r="M55" s="154" t="str">
        <f t="shared" si="3"/>
        <v>ABS</v>
      </c>
      <c r="N55" s="137" t="s">
        <v>30</v>
      </c>
      <c r="O55" s="117"/>
      <c r="P55" s="138" t="str">
        <f t="shared" si="4"/>
        <v>ABS</v>
      </c>
      <c r="Q55" s="117"/>
      <c r="R55" s="138" t="str">
        <f t="shared" si="5"/>
        <v>ABS</v>
      </c>
      <c r="S55" s="193" t="str">
        <f t="shared" si="6"/>
        <v>ABS</v>
      </c>
      <c r="T55" s="154" t="str">
        <f t="shared" si="7"/>
        <v>ABS</v>
      </c>
      <c r="U55" s="137" t="s">
        <v>32</v>
      </c>
      <c r="V55" s="117"/>
      <c r="W55" s="138" t="str">
        <f t="shared" si="8"/>
        <v>ABS</v>
      </c>
      <c r="X55" s="117"/>
      <c r="Y55" s="138" t="str">
        <f t="shared" si="9"/>
        <v>ABS</v>
      </c>
      <c r="Z55" s="193" t="str">
        <f t="shared" si="10"/>
        <v>ABS</v>
      </c>
      <c r="AA55" s="154" t="str">
        <f t="shared" si="11"/>
        <v>ABS</v>
      </c>
      <c r="AB55" s="120"/>
      <c r="AC55" s="117"/>
      <c r="AD55" s="138" t="str">
        <f t="shared" si="12"/>
        <v>ABS</v>
      </c>
      <c r="AE55" s="117"/>
      <c r="AF55" s="138" t="str">
        <f t="shared" si="13"/>
        <v>ABS</v>
      </c>
      <c r="AG55" s="193" t="str">
        <f t="shared" si="14"/>
        <v>ABS</v>
      </c>
      <c r="AH55" s="154" t="str">
        <f t="shared" si="15"/>
        <v>ABS</v>
      </c>
      <c r="AI55" s="119"/>
      <c r="AJ55" s="117"/>
      <c r="AK55" s="138" t="str">
        <f t="shared" si="16"/>
        <v>ABS</v>
      </c>
      <c r="AL55" s="117"/>
      <c r="AM55" s="138" t="str">
        <f t="shared" si="17"/>
        <v>ABS</v>
      </c>
      <c r="AN55" s="193" t="str">
        <f t="shared" si="18"/>
        <v>ABS</v>
      </c>
      <c r="AO55" s="154" t="str">
        <f t="shared" si="19"/>
        <v>ABS</v>
      </c>
      <c r="AP55" s="120"/>
      <c r="AQ55" s="117"/>
      <c r="AR55" s="138" t="str">
        <f t="shared" si="20"/>
        <v>ABS</v>
      </c>
      <c r="AS55" s="117"/>
      <c r="AT55" s="138" t="str">
        <f t="shared" si="21"/>
        <v>ABS</v>
      </c>
      <c r="AU55" s="193" t="str">
        <f t="shared" si="22"/>
        <v>ABS</v>
      </c>
      <c r="AV55" s="154" t="str">
        <f t="shared" si="23"/>
        <v>ABS</v>
      </c>
      <c r="AW55" s="139"/>
      <c r="AX55" s="140"/>
      <c r="AY55" s="141"/>
      <c r="AZ55" s="138" t="str">
        <f t="shared" si="24"/>
        <v>ABS</v>
      </c>
      <c r="BA55" s="141"/>
      <c r="BB55" s="138" t="str">
        <f t="shared" si="25"/>
        <v>ABS</v>
      </c>
      <c r="BC55" s="193" t="str">
        <f t="shared" si="26"/>
        <v>ABS</v>
      </c>
      <c r="BD55" s="188" t="str">
        <f t="shared" si="27"/>
        <v>ABS</v>
      </c>
    </row>
    <row r="56" spans="2:56" s="64" customFormat="1" ht="15.5">
      <c r="B56" s="194">
        <v>52</v>
      </c>
      <c r="C56" s="124"/>
      <c r="D56" s="147"/>
      <c r="E56" s="127"/>
      <c r="F56" s="127"/>
      <c r="G56" s="137" t="s">
        <v>23</v>
      </c>
      <c r="H56" s="117"/>
      <c r="I56" s="138" t="str">
        <f t="shared" si="0"/>
        <v>ABS</v>
      </c>
      <c r="J56" s="117"/>
      <c r="K56" s="138" t="str">
        <f t="shared" si="1"/>
        <v>ABS</v>
      </c>
      <c r="L56" s="192" t="str">
        <f t="shared" si="2"/>
        <v>ABS</v>
      </c>
      <c r="M56" s="154" t="str">
        <f t="shared" si="3"/>
        <v>ABS</v>
      </c>
      <c r="N56" s="137" t="s">
        <v>30</v>
      </c>
      <c r="O56" s="117"/>
      <c r="P56" s="138" t="str">
        <f t="shared" si="4"/>
        <v>ABS</v>
      </c>
      <c r="Q56" s="117"/>
      <c r="R56" s="138" t="str">
        <f t="shared" si="5"/>
        <v>ABS</v>
      </c>
      <c r="S56" s="193" t="str">
        <f t="shared" si="6"/>
        <v>ABS</v>
      </c>
      <c r="T56" s="154" t="str">
        <f t="shared" si="7"/>
        <v>ABS</v>
      </c>
      <c r="U56" s="137" t="s">
        <v>32</v>
      </c>
      <c r="V56" s="117"/>
      <c r="W56" s="138" t="str">
        <f t="shared" si="8"/>
        <v>ABS</v>
      </c>
      <c r="X56" s="117"/>
      <c r="Y56" s="138" t="str">
        <f t="shared" si="9"/>
        <v>ABS</v>
      </c>
      <c r="Z56" s="193" t="str">
        <f t="shared" si="10"/>
        <v>ABS</v>
      </c>
      <c r="AA56" s="154" t="str">
        <f t="shared" si="11"/>
        <v>ABS</v>
      </c>
      <c r="AB56" s="120"/>
      <c r="AC56" s="117"/>
      <c r="AD56" s="138" t="str">
        <f t="shared" si="12"/>
        <v>ABS</v>
      </c>
      <c r="AE56" s="117"/>
      <c r="AF56" s="138" t="str">
        <f t="shared" si="13"/>
        <v>ABS</v>
      </c>
      <c r="AG56" s="193" t="str">
        <f t="shared" si="14"/>
        <v>ABS</v>
      </c>
      <c r="AH56" s="154" t="str">
        <f t="shared" si="15"/>
        <v>ABS</v>
      </c>
      <c r="AI56" s="119"/>
      <c r="AJ56" s="117"/>
      <c r="AK56" s="138" t="str">
        <f t="shared" si="16"/>
        <v>ABS</v>
      </c>
      <c r="AL56" s="117"/>
      <c r="AM56" s="138" t="str">
        <f t="shared" si="17"/>
        <v>ABS</v>
      </c>
      <c r="AN56" s="193" t="str">
        <f t="shared" si="18"/>
        <v>ABS</v>
      </c>
      <c r="AO56" s="154" t="str">
        <f t="shared" si="19"/>
        <v>ABS</v>
      </c>
      <c r="AP56" s="120"/>
      <c r="AQ56" s="117"/>
      <c r="AR56" s="138" t="str">
        <f t="shared" si="20"/>
        <v>ABS</v>
      </c>
      <c r="AS56" s="117"/>
      <c r="AT56" s="138" t="str">
        <f t="shared" si="21"/>
        <v>ABS</v>
      </c>
      <c r="AU56" s="193" t="str">
        <f t="shared" si="22"/>
        <v>ABS</v>
      </c>
      <c r="AV56" s="154" t="str">
        <f t="shared" si="23"/>
        <v>ABS</v>
      </c>
      <c r="AW56" s="139"/>
      <c r="AX56" s="140"/>
      <c r="AY56" s="141"/>
      <c r="AZ56" s="138" t="str">
        <f t="shared" si="24"/>
        <v>ABS</v>
      </c>
      <c r="BA56" s="141"/>
      <c r="BB56" s="138" t="str">
        <f t="shared" si="25"/>
        <v>ABS</v>
      </c>
      <c r="BC56" s="193" t="str">
        <f t="shared" si="26"/>
        <v>ABS</v>
      </c>
      <c r="BD56" s="188" t="str">
        <f t="shared" si="27"/>
        <v>ABS</v>
      </c>
    </row>
    <row r="57" spans="2:56" s="64" customFormat="1" ht="15.5">
      <c r="B57" s="194">
        <v>53</v>
      </c>
      <c r="C57" s="124"/>
      <c r="D57" s="147"/>
      <c r="E57" s="127"/>
      <c r="F57" s="127"/>
      <c r="G57" s="137" t="s">
        <v>23</v>
      </c>
      <c r="H57" s="117"/>
      <c r="I57" s="138" t="str">
        <f t="shared" si="0"/>
        <v>ABS</v>
      </c>
      <c r="J57" s="117"/>
      <c r="K57" s="138" t="str">
        <f t="shared" si="1"/>
        <v>ABS</v>
      </c>
      <c r="L57" s="192" t="str">
        <f t="shared" si="2"/>
        <v>ABS</v>
      </c>
      <c r="M57" s="154" t="str">
        <f t="shared" si="3"/>
        <v>ABS</v>
      </c>
      <c r="N57" s="137" t="s">
        <v>30</v>
      </c>
      <c r="O57" s="117"/>
      <c r="P57" s="138" t="str">
        <f t="shared" si="4"/>
        <v>ABS</v>
      </c>
      <c r="Q57" s="117"/>
      <c r="R57" s="138" t="str">
        <f t="shared" si="5"/>
        <v>ABS</v>
      </c>
      <c r="S57" s="193" t="str">
        <f t="shared" si="6"/>
        <v>ABS</v>
      </c>
      <c r="T57" s="154" t="str">
        <f t="shared" si="7"/>
        <v>ABS</v>
      </c>
      <c r="U57" s="137" t="s">
        <v>32</v>
      </c>
      <c r="V57" s="117"/>
      <c r="W57" s="138" t="str">
        <f t="shared" si="8"/>
        <v>ABS</v>
      </c>
      <c r="X57" s="117"/>
      <c r="Y57" s="138" t="str">
        <f t="shared" si="9"/>
        <v>ABS</v>
      </c>
      <c r="Z57" s="193" t="str">
        <f t="shared" si="10"/>
        <v>ABS</v>
      </c>
      <c r="AA57" s="154" t="str">
        <f t="shared" si="11"/>
        <v>ABS</v>
      </c>
      <c r="AB57" s="120"/>
      <c r="AC57" s="117"/>
      <c r="AD57" s="138" t="str">
        <f t="shared" si="12"/>
        <v>ABS</v>
      </c>
      <c r="AE57" s="117"/>
      <c r="AF57" s="138" t="str">
        <f t="shared" si="13"/>
        <v>ABS</v>
      </c>
      <c r="AG57" s="193" t="str">
        <f t="shared" si="14"/>
        <v>ABS</v>
      </c>
      <c r="AH57" s="154" t="str">
        <f t="shared" si="15"/>
        <v>ABS</v>
      </c>
      <c r="AI57" s="119"/>
      <c r="AJ57" s="117"/>
      <c r="AK57" s="138" t="str">
        <f t="shared" si="16"/>
        <v>ABS</v>
      </c>
      <c r="AL57" s="117"/>
      <c r="AM57" s="138" t="str">
        <f t="shared" si="17"/>
        <v>ABS</v>
      </c>
      <c r="AN57" s="193" t="str">
        <f t="shared" si="18"/>
        <v>ABS</v>
      </c>
      <c r="AO57" s="154" t="str">
        <f t="shared" si="19"/>
        <v>ABS</v>
      </c>
      <c r="AP57" s="120"/>
      <c r="AQ57" s="117"/>
      <c r="AR57" s="138" t="str">
        <f t="shared" si="20"/>
        <v>ABS</v>
      </c>
      <c r="AS57" s="117"/>
      <c r="AT57" s="138" t="str">
        <f t="shared" si="21"/>
        <v>ABS</v>
      </c>
      <c r="AU57" s="193" t="str">
        <f t="shared" si="22"/>
        <v>ABS</v>
      </c>
      <c r="AV57" s="154" t="str">
        <f t="shared" si="23"/>
        <v>ABS</v>
      </c>
      <c r="AW57" s="139"/>
      <c r="AX57" s="140"/>
      <c r="AY57" s="141"/>
      <c r="AZ57" s="138" t="str">
        <f t="shared" si="24"/>
        <v>ABS</v>
      </c>
      <c r="BA57" s="141"/>
      <c r="BB57" s="138" t="str">
        <f t="shared" si="25"/>
        <v>ABS</v>
      </c>
      <c r="BC57" s="193" t="str">
        <f t="shared" si="26"/>
        <v>ABS</v>
      </c>
      <c r="BD57" s="188" t="str">
        <f t="shared" si="27"/>
        <v>ABS</v>
      </c>
    </row>
    <row r="58" spans="2:56" s="64" customFormat="1" ht="15.5">
      <c r="B58" s="194">
        <v>54</v>
      </c>
      <c r="C58" s="124"/>
      <c r="D58" s="147"/>
      <c r="E58" s="127"/>
      <c r="F58" s="127"/>
      <c r="G58" s="137" t="s">
        <v>23</v>
      </c>
      <c r="H58" s="117"/>
      <c r="I58" s="138" t="str">
        <f t="shared" si="0"/>
        <v>ABS</v>
      </c>
      <c r="J58" s="117"/>
      <c r="K58" s="138" t="str">
        <f t="shared" si="1"/>
        <v>ABS</v>
      </c>
      <c r="L58" s="192" t="str">
        <f t="shared" si="2"/>
        <v>ABS</v>
      </c>
      <c r="M58" s="154" t="str">
        <f t="shared" si="3"/>
        <v>ABS</v>
      </c>
      <c r="N58" s="137" t="s">
        <v>30</v>
      </c>
      <c r="O58" s="117"/>
      <c r="P58" s="138" t="str">
        <f t="shared" si="4"/>
        <v>ABS</v>
      </c>
      <c r="Q58" s="117"/>
      <c r="R58" s="138" t="str">
        <f t="shared" si="5"/>
        <v>ABS</v>
      </c>
      <c r="S58" s="193" t="str">
        <f t="shared" si="6"/>
        <v>ABS</v>
      </c>
      <c r="T58" s="154" t="str">
        <f t="shared" si="7"/>
        <v>ABS</v>
      </c>
      <c r="U58" s="137" t="s">
        <v>32</v>
      </c>
      <c r="V58" s="117"/>
      <c r="W58" s="138" t="str">
        <f t="shared" si="8"/>
        <v>ABS</v>
      </c>
      <c r="X58" s="117"/>
      <c r="Y58" s="138" t="str">
        <f t="shared" si="9"/>
        <v>ABS</v>
      </c>
      <c r="Z58" s="193" t="str">
        <f t="shared" si="10"/>
        <v>ABS</v>
      </c>
      <c r="AA58" s="154" t="str">
        <f t="shared" si="11"/>
        <v>ABS</v>
      </c>
      <c r="AB58" s="120"/>
      <c r="AC58" s="117"/>
      <c r="AD58" s="138" t="str">
        <f t="shared" si="12"/>
        <v>ABS</v>
      </c>
      <c r="AE58" s="117"/>
      <c r="AF58" s="138" t="str">
        <f t="shared" si="13"/>
        <v>ABS</v>
      </c>
      <c r="AG58" s="193" t="str">
        <f t="shared" si="14"/>
        <v>ABS</v>
      </c>
      <c r="AH58" s="154" t="str">
        <f t="shared" si="15"/>
        <v>ABS</v>
      </c>
      <c r="AI58" s="119"/>
      <c r="AJ58" s="117"/>
      <c r="AK58" s="138" t="str">
        <f t="shared" si="16"/>
        <v>ABS</v>
      </c>
      <c r="AL58" s="117"/>
      <c r="AM58" s="138" t="str">
        <f t="shared" si="17"/>
        <v>ABS</v>
      </c>
      <c r="AN58" s="193" t="str">
        <f t="shared" si="18"/>
        <v>ABS</v>
      </c>
      <c r="AO58" s="154" t="str">
        <f t="shared" si="19"/>
        <v>ABS</v>
      </c>
      <c r="AP58" s="120"/>
      <c r="AQ58" s="117"/>
      <c r="AR58" s="138" t="str">
        <f t="shared" si="20"/>
        <v>ABS</v>
      </c>
      <c r="AS58" s="117"/>
      <c r="AT58" s="138" t="str">
        <f t="shared" si="21"/>
        <v>ABS</v>
      </c>
      <c r="AU58" s="193" t="str">
        <f t="shared" si="22"/>
        <v>ABS</v>
      </c>
      <c r="AV58" s="154" t="str">
        <f t="shared" si="23"/>
        <v>ABS</v>
      </c>
      <c r="AW58" s="139"/>
      <c r="AX58" s="140"/>
      <c r="AY58" s="141"/>
      <c r="AZ58" s="138" t="str">
        <f t="shared" si="24"/>
        <v>ABS</v>
      </c>
      <c r="BA58" s="141"/>
      <c r="BB58" s="138" t="str">
        <f t="shared" si="25"/>
        <v>ABS</v>
      </c>
      <c r="BC58" s="193" t="str">
        <f t="shared" si="26"/>
        <v>ABS</v>
      </c>
      <c r="BD58" s="188" t="str">
        <f t="shared" si="27"/>
        <v>ABS</v>
      </c>
    </row>
    <row r="59" spans="2:56" s="64" customFormat="1" ht="15.5">
      <c r="B59" s="194">
        <v>55</v>
      </c>
      <c r="C59" s="124"/>
      <c r="D59" s="147"/>
      <c r="E59" s="127"/>
      <c r="F59" s="127"/>
      <c r="G59" s="137" t="s">
        <v>23</v>
      </c>
      <c r="H59" s="117"/>
      <c r="I59" s="138" t="str">
        <f t="shared" si="0"/>
        <v>ABS</v>
      </c>
      <c r="J59" s="117"/>
      <c r="K59" s="138" t="str">
        <f t="shared" si="1"/>
        <v>ABS</v>
      </c>
      <c r="L59" s="192" t="str">
        <f t="shared" si="2"/>
        <v>ABS</v>
      </c>
      <c r="M59" s="154" t="str">
        <f t="shared" si="3"/>
        <v>ABS</v>
      </c>
      <c r="N59" s="137" t="s">
        <v>30</v>
      </c>
      <c r="O59" s="117"/>
      <c r="P59" s="138" t="str">
        <f t="shared" si="4"/>
        <v>ABS</v>
      </c>
      <c r="Q59" s="117"/>
      <c r="R59" s="138" t="str">
        <f t="shared" si="5"/>
        <v>ABS</v>
      </c>
      <c r="S59" s="193" t="str">
        <f t="shared" si="6"/>
        <v>ABS</v>
      </c>
      <c r="T59" s="154" t="str">
        <f t="shared" si="7"/>
        <v>ABS</v>
      </c>
      <c r="U59" s="137" t="s">
        <v>32</v>
      </c>
      <c r="V59" s="117"/>
      <c r="W59" s="138" t="str">
        <f t="shared" si="8"/>
        <v>ABS</v>
      </c>
      <c r="X59" s="117"/>
      <c r="Y59" s="138" t="str">
        <f t="shared" si="9"/>
        <v>ABS</v>
      </c>
      <c r="Z59" s="193" t="str">
        <f t="shared" si="10"/>
        <v>ABS</v>
      </c>
      <c r="AA59" s="154" t="str">
        <f t="shared" si="11"/>
        <v>ABS</v>
      </c>
      <c r="AB59" s="120"/>
      <c r="AC59" s="117"/>
      <c r="AD59" s="138" t="str">
        <f t="shared" si="12"/>
        <v>ABS</v>
      </c>
      <c r="AE59" s="117"/>
      <c r="AF59" s="138" t="str">
        <f t="shared" si="13"/>
        <v>ABS</v>
      </c>
      <c r="AG59" s="193" t="str">
        <f t="shared" si="14"/>
        <v>ABS</v>
      </c>
      <c r="AH59" s="154" t="str">
        <f t="shared" si="15"/>
        <v>ABS</v>
      </c>
      <c r="AI59" s="119"/>
      <c r="AJ59" s="117"/>
      <c r="AK59" s="138" t="str">
        <f t="shared" si="16"/>
        <v>ABS</v>
      </c>
      <c r="AL59" s="117"/>
      <c r="AM59" s="138" t="str">
        <f t="shared" si="17"/>
        <v>ABS</v>
      </c>
      <c r="AN59" s="193" t="str">
        <f t="shared" si="18"/>
        <v>ABS</v>
      </c>
      <c r="AO59" s="154" t="str">
        <f t="shared" si="19"/>
        <v>ABS</v>
      </c>
      <c r="AP59" s="120"/>
      <c r="AQ59" s="117"/>
      <c r="AR59" s="138" t="str">
        <f t="shared" si="20"/>
        <v>ABS</v>
      </c>
      <c r="AS59" s="117"/>
      <c r="AT59" s="138" t="str">
        <f t="shared" si="21"/>
        <v>ABS</v>
      </c>
      <c r="AU59" s="193" t="str">
        <f t="shared" si="22"/>
        <v>ABS</v>
      </c>
      <c r="AV59" s="154" t="str">
        <f t="shared" si="23"/>
        <v>ABS</v>
      </c>
      <c r="AW59" s="139"/>
      <c r="AX59" s="140"/>
      <c r="AY59" s="141"/>
      <c r="AZ59" s="138" t="str">
        <f t="shared" si="24"/>
        <v>ABS</v>
      </c>
      <c r="BA59" s="141"/>
      <c r="BB59" s="138" t="str">
        <f t="shared" si="25"/>
        <v>ABS</v>
      </c>
      <c r="BC59" s="193" t="str">
        <f t="shared" si="26"/>
        <v>ABS</v>
      </c>
      <c r="BD59" s="188" t="str">
        <f t="shared" si="27"/>
        <v>ABS</v>
      </c>
    </row>
    <row r="60" spans="2:56" s="64" customFormat="1" ht="15.5">
      <c r="B60" s="194">
        <v>56</v>
      </c>
      <c r="C60" s="124"/>
      <c r="D60" s="147"/>
      <c r="E60" s="127"/>
      <c r="F60" s="127"/>
      <c r="G60" s="137" t="s">
        <v>23</v>
      </c>
      <c r="H60" s="118"/>
      <c r="I60" s="138" t="str">
        <f t="shared" si="0"/>
        <v>ABS</v>
      </c>
      <c r="J60" s="117"/>
      <c r="K60" s="138" t="str">
        <f t="shared" si="1"/>
        <v>ABS</v>
      </c>
      <c r="L60" s="192" t="str">
        <f t="shared" si="2"/>
        <v>ABS</v>
      </c>
      <c r="M60" s="154" t="str">
        <f t="shared" si="3"/>
        <v>ABS</v>
      </c>
      <c r="N60" s="137" t="s">
        <v>30</v>
      </c>
      <c r="O60" s="117"/>
      <c r="P60" s="138" t="str">
        <f t="shared" si="4"/>
        <v>ABS</v>
      </c>
      <c r="Q60" s="117"/>
      <c r="R60" s="138" t="str">
        <f t="shared" si="5"/>
        <v>ABS</v>
      </c>
      <c r="S60" s="193" t="str">
        <f t="shared" si="6"/>
        <v>ABS</v>
      </c>
      <c r="T60" s="154" t="str">
        <f t="shared" si="7"/>
        <v>ABS</v>
      </c>
      <c r="U60" s="137" t="s">
        <v>32</v>
      </c>
      <c r="V60" s="117"/>
      <c r="W60" s="138" t="str">
        <f t="shared" si="8"/>
        <v>ABS</v>
      </c>
      <c r="X60" s="117"/>
      <c r="Y60" s="138" t="str">
        <f t="shared" si="9"/>
        <v>ABS</v>
      </c>
      <c r="Z60" s="193" t="str">
        <f t="shared" si="10"/>
        <v>ABS</v>
      </c>
      <c r="AA60" s="154" t="str">
        <f t="shared" si="11"/>
        <v>ABS</v>
      </c>
      <c r="AB60" s="120"/>
      <c r="AC60" s="117"/>
      <c r="AD60" s="138" t="str">
        <f t="shared" si="12"/>
        <v>ABS</v>
      </c>
      <c r="AE60" s="117"/>
      <c r="AF60" s="138" t="str">
        <f t="shared" si="13"/>
        <v>ABS</v>
      </c>
      <c r="AG60" s="193" t="str">
        <f t="shared" si="14"/>
        <v>ABS</v>
      </c>
      <c r="AH60" s="154" t="str">
        <f t="shared" si="15"/>
        <v>ABS</v>
      </c>
      <c r="AI60" s="119"/>
      <c r="AJ60" s="117"/>
      <c r="AK60" s="138" t="str">
        <f t="shared" si="16"/>
        <v>ABS</v>
      </c>
      <c r="AL60" s="117"/>
      <c r="AM60" s="138" t="str">
        <f t="shared" si="17"/>
        <v>ABS</v>
      </c>
      <c r="AN60" s="193" t="str">
        <f t="shared" si="18"/>
        <v>ABS</v>
      </c>
      <c r="AO60" s="154" t="str">
        <f t="shared" si="19"/>
        <v>ABS</v>
      </c>
      <c r="AP60" s="120"/>
      <c r="AQ60" s="117"/>
      <c r="AR60" s="138" t="str">
        <f t="shared" si="20"/>
        <v>ABS</v>
      </c>
      <c r="AS60" s="117"/>
      <c r="AT60" s="138" t="str">
        <f t="shared" si="21"/>
        <v>ABS</v>
      </c>
      <c r="AU60" s="193" t="str">
        <f t="shared" si="22"/>
        <v>ABS</v>
      </c>
      <c r="AV60" s="154" t="str">
        <f t="shared" si="23"/>
        <v>ABS</v>
      </c>
      <c r="AW60" s="139"/>
      <c r="AX60" s="140"/>
      <c r="AY60" s="141"/>
      <c r="AZ60" s="138" t="str">
        <f t="shared" si="24"/>
        <v>ABS</v>
      </c>
      <c r="BA60" s="141"/>
      <c r="BB60" s="138" t="str">
        <f t="shared" si="25"/>
        <v>ABS</v>
      </c>
      <c r="BC60" s="193" t="str">
        <f t="shared" si="26"/>
        <v>ABS</v>
      </c>
      <c r="BD60" s="188" t="str">
        <f t="shared" si="27"/>
        <v>ABS</v>
      </c>
    </row>
    <row r="61" spans="2:56" s="64" customFormat="1" ht="15.5">
      <c r="B61" s="194">
        <v>57</v>
      </c>
      <c r="C61" s="124"/>
      <c r="D61" s="147"/>
      <c r="E61" s="127"/>
      <c r="F61" s="127"/>
      <c r="G61" s="137" t="s">
        <v>23</v>
      </c>
      <c r="H61" s="117"/>
      <c r="I61" s="138" t="str">
        <f t="shared" si="0"/>
        <v>ABS</v>
      </c>
      <c r="J61" s="117"/>
      <c r="K61" s="138" t="str">
        <f t="shared" si="1"/>
        <v>ABS</v>
      </c>
      <c r="L61" s="192" t="str">
        <f t="shared" si="2"/>
        <v>ABS</v>
      </c>
      <c r="M61" s="154" t="str">
        <f t="shared" si="3"/>
        <v>ABS</v>
      </c>
      <c r="N61" s="137" t="s">
        <v>30</v>
      </c>
      <c r="O61" s="117"/>
      <c r="P61" s="138" t="str">
        <f t="shared" si="4"/>
        <v>ABS</v>
      </c>
      <c r="Q61" s="117"/>
      <c r="R61" s="138" t="str">
        <f t="shared" si="5"/>
        <v>ABS</v>
      </c>
      <c r="S61" s="193" t="str">
        <f t="shared" si="6"/>
        <v>ABS</v>
      </c>
      <c r="T61" s="154" t="str">
        <f t="shared" si="7"/>
        <v>ABS</v>
      </c>
      <c r="U61" s="137" t="s">
        <v>32</v>
      </c>
      <c r="V61" s="117"/>
      <c r="W61" s="138" t="str">
        <f t="shared" si="8"/>
        <v>ABS</v>
      </c>
      <c r="X61" s="117"/>
      <c r="Y61" s="138" t="str">
        <f t="shared" si="9"/>
        <v>ABS</v>
      </c>
      <c r="Z61" s="193" t="str">
        <f t="shared" si="10"/>
        <v>ABS</v>
      </c>
      <c r="AA61" s="154" t="str">
        <f t="shared" si="11"/>
        <v>ABS</v>
      </c>
      <c r="AB61" s="120"/>
      <c r="AC61" s="117"/>
      <c r="AD61" s="138" t="str">
        <f t="shared" si="12"/>
        <v>ABS</v>
      </c>
      <c r="AE61" s="117"/>
      <c r="AF61" s="138" t="str">
        <f t="shared" si="13"/>
        <v>ABS</v>
      </c>
      <c r="AG61" s="193" t="str">
        <f t="shared" si="14"/>
        <v>ABS</v>
      </c>
      <c r="AH61" s="154" t="str">
        <f t="shared" si="15"/>
        <v>ABS</v>
      </c>
      <c r="AI61" s="119"/>
      <c r="AJ61" s="117"/>
      <c r="AK61" s="138" t="str">
        <f t="shared" si="16"/>
        <v>ABS</v>
      </c>
      <c r="AL61" s="117"/>
      <c r="AM61" s="138" t="str">
        <f t="shared" si="17"/>
        <v>ABS</v>
      </c>
      <c r="AN61" s="193" t="str">
        <f t="shared" si="18"/>
        <v>ABS</v>
      </c>
      <c r="AO61" s="154" t="str">
        <f t="shared" si="19"/>
        <v>ABS</v>
      </c>
      <c r="AP61" s="120"/>
      <c r="AQ61" s="117"/>
      <c r="AR61" s="138" t="str">
        <f t="shared" si="20"/>
        <v>ABS</v>
      </c>
      <c r="AS61" s="117"/>
      <c r="AT61" s="138" t="str">
        <f t="shared" si="21"/>
        <v>ABS</v>
      </c>
      <c r="AU61" s="193" t="str">
        <f t="shared" si="22"/>
        <v>ABS</v>
      </c>
      <c r="AV61" s="154" t="str">
        <f t="shared" si="23"/>
        <v>ABS</v>
      </c>
      <c r="AW61" s="139"/>
      <c r="AX61" s="140"/>
      <c r="AY61" s="141"/>
      <c r="AZ61" s="138" t="str">
        <f t="shared" si="24"/>
        <v>ABS</v>
      </c>
      <c r="BA61" s="141"/>
      <c r="BB61" s="138" t="str">
        <f t="shared" si="25"/>
        <v>ABS</v>
      </c>
      <c r="BC61" s="193" t="str">
        <f t="shared" si="26"/>
        <v>ABS</v>
      </c>
      <c r="BD61" s="188" t="str">
        <f t="shared" si="27"/>
        <v>ABS</v>
      </c>
    </row>
    <row r="62" spans="2:56" s="64" customFormat="1" ht="15.5">
      <c r="B62" s="194">
        <v>58</v>
      </c>
      <c r="C62" s="124"/>
      <c r="D62" s="147"/>
      <c r="E62" s="127"/>
      <c r="F62" s="127"/>
      <c r="G62" s="137" t="s">
        <v>23</v>
      </c>
      <c r="H62" s="117"/>
      <c r="I62" s="138" t="str">
        <f t="shared" si="0"/>
        <v>ABS</v>
      </c>
      <c r="J62" s="117"/>
      <c r="K62" s="138" t="str">
        <f t="shared" si="1"/>
        <v>ABS</v>
      </c>
      <c r="L62" s="192" t="str">
        <f t="shared" si="2"/>
        <v>ABS</v>
      </c>
      <c r="M62" s="154" t="str">
        <f t="shared" si="3"/>
        <v>ABS</v>
      </c>
      <c r="N62" s="137" t="s">
        <v>30</v>
      </c>
      <c r="O62" s="117"/>
      <c r="P62" s="138" t="str">
        <f t="shared" si="4"/>
        <v>ABS</v>
      </c>
      <c r="Q62" s="117"/>
      <c r="R62" s="138" t="str">
        <f t="shared" si="5"/>
        <v>ABS</v>
      </c>
      <c r="S62" s="193" t="str">
        <f t="shared" si="6"/>
        <v>ABS</v>
      </c>
      <c r="T62" s="154" t="str">
        <f t="shared" si="7"/>
        <v>ABS</v>
      </c>
      <c r="U62" s="137" t="s">
        <v>32</v>
      </c>
      <c r="V62" s="117"/>
      <c r="W62" s="138" t="str">
        <f t="shared" si="8"/>
        <v>ABS</v>
      </c>
      <c r="X62" s="117"/>
      <c r="Y62" s="138" t="str">
        <f t="shared" si="9"/>
        <v>ABS</v>
      </c>
      <c r="Z62" s="193" t="str">
        <f t="shared" si="10"/>
        <v>ABS</v>
      </c>
      <c r="AA62" s="154" t="str">
        <f t="shared" si="11"/>
        <v>ABS</v>
      </c>
      <c r="AB62" s="120"/>
      <c r="AC62" s="117"/>
      <c r="AD62" s="138" t="str">
        <f t="shared" si="12"/>
        <v>ABS</v>
      </c>
      <c r="AE62" s="117"/>
      <c r="AF62" s="138" t="str">
        <f t="shared" si="13"/>
        <v>ABS</v>
      </c>
      <c r="AG62" s="193" t="str">
        <f t="shared" si="14"/>
        <v>ABS</v>
      </c>
      <c r="AH62" s="154" t="str">
        <f t="shared" si="15"/>
        <v>ABS</v>
      </c>
      <c r="AI62" s="119"/>
      <c r="AJ62" s="117"/>
      <c r="AK62" s="138" t="str">
        <f t="shared" si="16"/>
        <v>ABS</v>
      </c>
      <c r="AL62" s="117"/>
      <c r="AM62" s="138" t="str">
        <f t="shared" si="17"/>
        <v>ABS</v>
      </c>
      <c r="AN62" s="193" t="str">
        <f t="shared" si="18"/>
        <v>ABS</v>
      </c>
      <c r="AO62" s="154" t="str">
        <f t="shared" si="19"/>
        <v>ABS</v>
      </c>
      <c r="AP62" s="120"/>
      <c r="AQ62" s="117"/>
      <c r="AR62" s="138" t="str">
        <f t="shared" si="20"/>
        <v>ABS</v>
      </c>
      <c r="AS62" s="117"/>
      <c r="AT62" s="138" t="str">
        <f t="shared" si="21"/>
        <v>ABS</v>
      </c>
      <c r="AU62" s="193" t="str">
        <f t="shared" si="22"/>
        <v>ABS</v>
      </c>
      <c r="AV62" s="154" t="str">
        <f t="shared" si="23"/>
        <v>ABS</v>
      </c>
      <c r="AW62" s="139"/>
      <c r="AX62" s="140"/>
      <c r="AY62" s="141"/>
      <c r="AZ62" s="138" t="str">
        <f t="shared" si="24"/>
        <v>ABS</v>
      </c>
      <c r="BA62" s="141"/>
      <c r="BB62" s="138" t="str">
        <f t="shared" si="25"/>
        <v>ABS</v>
      </c>
      <c r="BC62" s="193" t="str">
        <f t="shared" si="26"/>
        <v>ABS</v>
      </c>
      <c r="BD62" s="188" t="str">
        <f t="shared" si="27"/>
        <v>ABS</v>
      </c>
    </row>
    <row r="63" spans="2:56" s="64" customFormat="1" ht="15.5">
      <c r="B63" s="194">
        <v>59</v>
      </c>
      <c r="C63" s="124"/>
      <c r="D63" s="147"/>
      <c r="E63" s="127"/>
      <c r="F63" s="127"/>
      <c r="G63" s="137" t="s">
        <v>23</v>
      </c>
      <c r="H63" s="117"/>
      <c r="I63" s="138" t="str">
        <f t="shared" si="0"/>
        <v>ABS</v>
      </c>
      <c r="J63" s="117"/>
      <c r="K63" s="138" t="str">
        <f t="shared" si="1"/>
        <v>ABS</v>
      </c>
      <c r="L63" s="192" t="str">
        <f t="shared" si="2"/>
        <v>ABS</v>
      </c>
      <c r="M63" s="154" t="str">
        <f t="shared" si="3"/>
        <v>ABS</v>
      </c>
      <c r="N63" s="137" t="s">
        <v>30</v>
      </c>
      <c r="O63" s="117"/>
      <c r="P63" s="138" t="str">
        <f t="shared" si="4"/>
        <v>ABS</v>
      </c>
      <c r="Q63" s="117"/>
      <c r="R63" s="138" t="str">
        <f t="shared" si="5"/>
        <v>ABS</v>
      </c>
      <c r="S63" s="193" t="str">
        <f t="shared" si="6"/>
        <v>ABS</v>
      </c>
      <c r="T63" s="154" t="str">
        <f t="shared" si="7"/>
        <v>ABS</v>
      </c>
      <c r="U63" s="137" t="s">
        <v>32</v>
      </c>
      <c r="V63" s="117"/>
      <c r="W63" s="138" t="str">
        <f t="shared" si="8"/>
        <v>ABS</v>
      </c>
      <c r="X63" s="117"/>
      <c r="Y63" s="138" t="str">
        <f t="shared" si="9"/>
        <v>ABS</v>
      </c>
      <c r="Z63" s="193" t="str">
        <f t="shared" si="10"/>
        <v>ABS</v>
      </c>
      <c r="AA63" s="154" t="str">
        <f t="shared" si="11"/>
        <v>ABS</v>
      </c>
      <c r="AB63" s="120"/>
      <c r="AC63" s="117"/>
      <c r="AD63" s="138" t="str">
        <f t="shared" si="12"/>
        <v>ABS</v>
      </c>
      <c r="AE63" s="117"/>
      <c r="AF63" s="138" t="str">
        <f t="shared" si="13"/>
        <v>ABS</v>
      </c>
      <c r="AG63" s="193" t="str">
        <f t="shared" si="14"/>
        <v>ABS</v>
      </c>
      <c r="AH63" s="154" t="str">
        <f t="shared" si="15"/>
        <v>ABS</v>
      </c>
      <c r="AI63" s="119"/>
      <c r="AJ63" s="117"/>
      <c r="AK63" s="138" t="str">
        <f t="shared" si="16"/>
        <v>ABS</v>
      </c>
      <c r="AL63" s="117"/>
      <c r="AM63" s="138" t="str">
        <f t="shared" si="17"/>
        <v>ABS</v>
      </c>
      <c r="AN63" s="193" t="str">
        <f t="shared" si="18"/>
        <v>ABS</v>
      </c>
      <c r="AO63" s="154" t="str">
        <f t="shared" si="19"/>
        <v>ABS</v>
      </c>
      <c r="AP63" s="120"/>
      <c r="AQ63" s="117"/>
      <c r="AR63" s="138" t="str">
        <f t="shared" si="20"/>
        <v>ABS</v>
      </c>
      <c r="AS63" s="117"/>
      <c r="AT63" s="138" t="str">
        <f t="shared" si="21"/>
        <v>ABS</v>
      </c>
      <c r="AU63" s="193" t="str">
        <f t="shared" si="22"/>
        <v>ABS</v>
      </c>
      <c r="AV63" s="154" t="str">
        <f t="shared" si="23"/>
        <v>ABS</v>
      </c>
      <c r="AW63" s="139"/>
      <c r="AX63" s="140"/>
      <c r="AY63" s="141"/>
      <c r="AZ63" s="138" t="str">
        <f t="shared" si="24"/>
        <v>ABS</v>
      </c>
      <c r="BA63" s="141"/>
      <c r="BB63" s="138" t="str">
        <f t="shared" si="25"/>
        <v>ABS</v>
      </c>
      <c r="BC63" s="193" t="str">
        <f t="shared" si="26"/>
        <v>ABS</v>
      </c>
      <c r="BD63" s="188" t="str">
        <f t="shared" si="27"/>
        <v>ABS</v>
      </c>
    </row>
    <row r="64" spans="2:56" s="64" customFormat="1" ht="15.5">
      <c r="B64" s="194">
        <v>60</v>
      </c>
      <c r="C64" s="124"/>
      <c r="D64" s="147"/>
      <c r="E64" s="127"/>
      <c r="F64" s="127"/>
      <c r="G64" s="137" t="s">
        <v>23</v>
      </c>
      <c r="H64" s="117"/>
      <c r="I64" s="138" t="str">
        <f t="shared" si="0"/>
        <v>ABS</v>
      </c>
      <c r="J64" s="117"/>
      <c r="K64" s="138" t="str">
        <f t="shared" si="1"/>
        <v>ABS</v>
      </c>
      <c r="L64" s="192" t="str">
        <f t="shared" si="2"/>
        <v>ABS</v>
      </c>
      <c r="M64" s="154" t="str">
        <f t="shared" si="3"/>
        <v>ABS</v>
      </c>
      <c r="N64" s="137" t="s">
        <v>30</v>
      </c>
      <c r="O64" s="117"/>
      <c r="P64" s="138" t="str">
        <f t="shared" si="4"/>
        <v>ABS</v>
      </c>
      <c r="Q64" s="117"/>
      <c r="R64" s="138" t="str">
        <f t="shared" si="5"/>
        <v>ABS</v>
      </c>
      <c r="S64" s="193" t="str">
        <f t="shared" si="6"/>
        <v>ABS</v>
      </c>
      <c r="T64" s="154" t="str">
        <f t="shared" si="7"/>
        <v>ABS</v>
      </c>
      <c r="U64" s="137" t="s">
        <v>32</v>
      </c>
      <c r="V64" s="117"/>
      <c r="W64" s="138" t="str">
        <f t="shared" si="8"/>
        <v>ABS</v>
      </c>
      <c r="X64" s="117"/>
      <c r="Y64" s="138" t="str">
        <f t="shared" si="9"/>
        <v>ABS</v>
      </c>
      <c r="Z64" s="193" t="str">
        <f t="shared" si="10"/>
        <v>ABS</v>
      </c>
      <c r="AA64" s="154" t="str">
        <f t="shared" si="11"/>
        <v>ABS</v>
      </c>
      <c r="AB64" s="120"/>
      <c r="AC64" s="117"/>
      <c r="AD64" s="138" t="str">
        <f t="shared" si="12"/>
        <v>ABS</v>
      </c>
      <c r="AE64" s="117"/>
      <c r="AF64" s="138" t="str">
        <f t="shared" si="13"/>
        <v>ABS</v>
      </c>
      <c r="AG64" s="193" t="str">
        <f t="shared" si="14"/>
        <v>ABS</v>
      </c>
      <c r="AH64" s="154" t="str">
        <f t="shared" si="15"/>
        <v>ABS</v>
      </c>
      <c r="AI64" s="119"/>
      <c r="AJ64" s="117"/>
      <c r="AK64" s="138" t="str">
        <f t="shared" si="16"/>
        <v>ABS</v>
      </c>
      <c r="AL64" s="117"/>
      <c r="AM64" s="138" t="str">
        <f t="shared" si="17"/>
        <v>ABS</v>
      </c>
      <c r="AN64" s="193" t="str">
        <f t="shared" si="18"/>
        <v>ABS</v>
      </c>
      <c r="AO64" s="154" t="str">
        <f t="shared" si="19"/>
        <v>ABS</v>
      </c>
      <c r="AP64" s="120"/>
      <c r="AQ64" s="117"/>
      <c r="AR64" s="138" t="str">
        <f t="shared" si="20"/>
        <v>ABS</v>
      </c>
      <c r="AS64" s="117"/>
      <c r="AT64" s="138" t="str">
        <f t="shared" si="21"/>
        <v>ABS</v>
      </c>
      <c r="AU64" s="193" t="str">
        <f t="shared" si="22"/>
        <v>ABS</v>
      </c>
      <c r="AV64" s="154" t="str">
        <f t="shared" si="23"/>
        <v>ABS</v>
      </c>
      <c r="AW64" s="139"/>
      <c r="AX64" s="140"/>
      <c r="AY64" s="141"/>
      <c r="AZ64" s="138" t="str">
        <f t="shared" si="24"/>
        <v>ABS</v>
      </c>
      <c r="BA64" s="141"/>
      <c r="BB64" s="138" t="str">
        <f t="shared" si="25"/>
        <v>ABS</v>
      </c>
      <c r="BC64" s="193" t="str">
        <f t="shared" si="26"/>
        <v>ABS</v>
      </c>
      <c r="BD64" s="188" t="str">
        <f t="shared" si="27"/>
        <v>ABS</v>
      </c>
    </row>
    <row r="65" spans="2:56" s="64" customFormat="1" ht="15.5">
      <c r="B65" s="194">
        <v>61</v>
      </c>
      <c r="C65" s="124"/>
      <c r="D65" s="147"/>
      <c r="E65" s="127"/>
      <c r="F65" s="127"/>
      <c r="G65" s="137" t="s">
        <v>23</v>
      </c>
      <c r="H65" s="117"/>
      <c r="I65" s="138" t="str">
        <f t="shared" si="0"/>
        <v>ABS</v>
      </c>
      <c r="J65" s="117"/>
      <c r="K65" s="138" t="str">
        <f t="shared" si="1"/>
        <v>ABS</v>
      </c>
      <c r="L65" s="192" t="str">
        <f t="shared" si="2"/>
        <v>ABS</v>
      </c>
      <c r="M65" s="154" t="str">
        <f t="shared" si="3"/>
        <v>ABS</v>
      </c>
      <c r="N65" s="137" t="s">
        <v>30</v>
      </c>
      <c r="O65" s="117"/>
      <c r="P65" s="138" t="str">
        <f t="shared" si="4"/>
        <v>ABS</v>
      </c>
      <c r="Q65" s="117"/>
      <c r="R65" s="138" t="str">
        <f t="shared" si="5"/>
        <v>ABS</v>
      </c>
      <c r="S65" s="193" t="str">
        <f t="shared" si="6"/>
        <v>ABS</v>
      </c>
      <c r="T65" s="154" t="str">
        <f t="shared" si="7"/>
        <v>ABS</v>
      </c>
      <c r="U65" s="137" t="s">
        <v>32</v>
      </c>
      <c r="V65" s="117"/>
      <c r="W65" s="138" t="str">
        <f t="shared" si="8"/>
        <v>ABS</v>
      </c>
      <c r="X65" s="117"/>
      <c r="Y65" s="138" t="str">
        <f t="shared" si="9"/>
        <v>ABS</v>
      </c>
      <c r="Z65" s="193" t="str">
        <f t="shared" si="10"/>
        <v>ABS</v>
      </c>
      <c r="AA65" s="154" t="str">
        <f t="shared" si="11"/>
        <v>ABS</v>
      </c>
      <c r="AB65" s="120"/>
      <c r="AC65" s="117"/>
      <c r="AD65" s="138" t="str">
        <f t="shared" si="12"/>
        <v>ABS</v>
      </c>
      <c r="AE65" s="117"/>
      <c r="AF65" s="138" t="str">
        <f t="shared" si="13"/>
        <v>ABS</v>
      </c>
      <c r="AG65" s="193" t="str">
        <f t="shared" si="14"/>
        <v>ABS</v>
      </c>
      <c r="AH65" s="154" t="str">
        <f t="shared" si="15"/>
        <v>ABS</v>
      </c>
      <c r="AI65" s="119"/>
      <c r="AJ65" s="117"/>
      <c r="AK65" s="138" t="str">
        <f t="shared" si="16"/>
        <v>ABS</v>
      </c>
      <c r="AL65" s="117"/>
      <c r="AM65" s="138" t="str">
        <f t="shared" si="17"/>
        <v>ABS</v>
      </c>
      <c r="AN65" s="193" t="str">
        <f t="shared" si="18"/>
        <v>ABS</v>
      </c>
      <c r="AO65" s="154" t="str">
        <f t="shared" si="19"/>
        <v>ABS</v>
      </c>
      <c r="AP65" s="120"/>
      <c r="AQ65" s="117"/>
      <c r="AR65" s="138" t="str">
        <f t="shared" si="20"/>
        <v>ABS</v>
      </c>
      <c r="AS65" s="117"/>
      <c r="AT65" s="138" t="str">
        <f t="shared" si="21"/>
        <v>ABS</v>
      </c>
      <c r="AU65" s="193" t="str">
        <f t="shared" si="22"/>
        <v>ABS</v>
      </c>
      <c r="AV65" s="154" t="str">
        <f t="shared" si="23"/>
        <v>ABS</v>
      </c>
      <c r="AW65" s="139"/>
      <c r="AX65" s="140"/>
      <c r="AY65" s="141"/>
      <c r="AZ65" s="138" t="str">
        <f t="shared" si="24"/>
        <v>ABS</v>
      </c>
      <c r="BA65" s="141"/>
      <c r="BB65" s="138" t="str">
        <f t="shared" si="25"/>
        <v>ABS</v>
      </c>
      <c r="BC65" s="193" t="str">
        <f t="shared" si="26"/>
        <v>ABS</v>
      </c>
      <c r="BD65" s="188" t="str">
        <f t="shared" si="27"/>
        <v>ABS</v>
      </c>
    </row>
    <row r="66" spans="2:56" s="64" customFormat="1" ht="15.5">
      <c r="B66" s="194">
        <v>62</v>
      </c>
      <c r="C66" s="124"/>
      <c r="D66" s="147"/>
      <c r="E66" s="127"/>
      <c r="F66" s="127"/>
      <c r="G66" s="137" t="s">
        <v>23</v>
      </c>
      <c r="H66" s="117"/>
      <c r="I66" s="138" t="str">
        <f t="shared" si="0"/>
        <v>ABS</v>
      </c>
      <c r="J66" s="117"/>
      <c r="K66" s="138" t="str">
        <f t="shared" si="1"/>
        <v>ABS</v>
      </c>
      <c r="L66" s="192" t="str">
        <f t="shared" si="2"/>
        <v>ABS</v>
      </c>
      <c r="M66" s="154" t="str">
        <f t="shared" si="3"/>
        <v>ABS</v>
      </c>
      <c r="N66" s="137" t="s">
        <v>30</v>
      </c>
      <c r="O66" s="117"/>
      <c r="P66" s="138" t="str">
        <f t="shared" si="4"/>
        <v>ABS</v>
      </c>
      <c r="Q66" s="117"/>
      <c r="R66" s="138" t="str">
        <f t="shared" si="5"/>
        <v>ABS</v>
      </c>
      <c r="S66" s="193" t="str">
        <f t="shared" si="6"/>
        <v>ABS</v>
      </c>
      <c r="T66" s="154" t="str">
        <f t="shared" si="7"/>
        <v>ABS</v>
      </c>
      <c r="U66" s="137" t="s">
        <v>32</v>
      </c>
      <c r="V66" s="117"/>
      <c r="W66" s="138" t="str">
        <f t="shared" si="8"/>
        <v>ABS</v>
      </c>
      <c r="X66" s="117"/>
      <c r="Y66" s="138" t="str">
        <f t="shared" si="9"/>
        <v>ABS</v>
      </c>
      <c r="Z66" s="193" t="str">
        <f t="shared" si="10"/>
        <v>ABS</v>
      </c>
      <c r="AA66" s="154" t="str">
        <f t="shared" si="11"/>
        <v>ABS</v>
      </c>
      <c r="AB66" s="120"/>
      <c r="AC66" s="117"/>
      <c r="AD66" s="138" t="str">
        <f t="shared" si="12"/>
        <v>ABS</v>
      </c>
      <c r="AE66" s="117"/>
      <c r="AF66" s="138" t="str">
        <f t="shared" si="13"/>
        <v>ABS</v>
      </c>
      <c r="AG66" s="193" t="str">
        <f t="shared" si="14"/>
        <v>ABS</v>
      </c>
      <c r="AH66" s="154" t="str">
        <f t="shared" si="15"/>
        <v>ABS</v>
      </c>
      <c r="AI66" s="119"/>
      <c r="AJ66" s="117"/>
      <c r="AK66" s="138" t="str">
        <f t="shared" si="16"/>
        <v>ABS</v>
      </c>
      <c r="AL66" s="117"/>
      <c r="AM66" s="138" t="str">
        <f t="shared" si="17"/>
        <v>ABS</v>
      </c>
      <c r="AN66" s="193" t="str">
        <f t="shared" si="18"/>
        <v>ABS</v>
      </c>
      <c r="AO66" s="154" t="str">
        <f t="shared" si="19"/>
        <v>ABS</v>
      </c>
      <c r="AP66" s="120"/>
      <c r="AQ66" s="117"/>
      <c r="AR66" s="138" t="str">
        <f t="shared" si="20"/>
        <v>ABS</v>
      </c>
      <c r="AS66" s="117"/>
      <c r="AT66" s="138" t="str">
        <f t="shared" si="21"/>
        <v>ABS</v>
      </c>
      <c r="AU66" s="193" t="str">
        <f t="shared" si="22"/>
        <v>ABS</v>
      </c>
      <c r="AV66" s="154" t="str">
        <f t="shared" si="23"/>
        <v>ABS</v>
      </c>
      <c r="AW66" s="139"/>
      <c r="AX66" s="140"/>
      <c r="AY66" s="141"/>
      <c r="AZ66" s="138" t="str">
        <f t="shared" si="24"/>
        <v>ABS</v>
      </c>
      <c r="BA66" s="141"/>
      <c r="BB66" s="138" t="str">
        <f t="shared" si="25"/>
        <v>ABS</v>
      </c>
      <c r="BC66" s="193" t="str">
        <f t="shared" si="26"/>
        <v>ABS</v>
      </c>
      <c r="BD66" s="188" t="str">
        <f t="shared" si="27"/>
        <v>ABS</v>
      </c>
    </row>
    <row r="67" spans="2:56" s="64" customFormat="1" ht="15.5">
      <c r="B67" s="194">
        <v>63</v>
      </c>
      <c r="C67" s="124"/>
      <c r="D67" s="147"/>
      <c r="E67" s="127"/>
      <c r="F67" s="127"/>
      <c r="G67" s="137" t="s">
        <v>23</v>
      </c>
      <c r="H67" s="117"/>
      <c r="I67" s="138" t="str">
        <f t="shared" si="0"/>
        <v>ABS</v>
      </c>
      <c r="J67" s="117"/>
      <c r="K67" s="138" t="str">
        <f t="shared" si="1"/>
        <v>ABS</v>
      </c>
      <c r="L67" s="192" t="str">
        <f t="shared" si="2"/>
        <v>ABS</v>
      </c>
      <c r="M67" s="154" t="str">
        <f t="shared" si="3"/>
        <v>ABS</v>
      </c>
      <c r="N67" s="137" t="s">
        <v>30</v>
      </c>
      <c r="O67" s="117"/>
      <c r="P67" s="138" t="str">
        <f t="shared" si="4"/>
        <v>ABS</v>
      </c>
      <c r="Q67" s="117"/>
      <c r="R67" s="138" t="str">
        <f t="shared" si="5"/>
        <v>ABS</v>
      </c>
      <c r="S67" s="193" t="str">
        <f t="shared" si="6"/>
        <v>ABS</v>
      </c>
      <c r="T67" s="154" t="str">
        <f t="shared" si="7"/>
        <v>ABS</v>
      </c>
      <c r="U67" s="137" t="s">
        <v>32</v>
      </c>
      <c r="V67" s="117"/>
      <c r="W67" s="138" t="str">
        <f t="shared" si="8"/>
        <v>ABS</v>
      </c>
      <c r="X67" s="117"/>
      <c r="Y67" s="138" t="str">
        <f t="shared" si="9"/>
        <v>ABS</v>
      </c>
      <c r="Z67" s="193" t="str">
        <f t="shared" si="10"/>
        <v>ABS</v>
      </c>
      <c r="AA67" s="154" t="str">
        <f t="shared" si="11"/>
        <v>ABS</v>
      </c>
      <c r="AB67" s="120"/>
      <c r="AC67" s="117"/>
      <c r="AD67" s="138" t="str">
        <f t="shared" si="12"/>
        <v>ABS</v>
      </c>
      <c r="AE67" s="117"/>
      <c r="AF67" s="138" t="str">
        <f t="shared" si="13"/>
        <v>ABS</v>
      </c>
      <c r="AG67" s="193" t="str">
        <f t="shared" si="14"/>
        <v>ABS</v>
      </c>
      <c r="AH67" s="154" t="str">
        <f t="shared" si="15"/>
        <v>ABS</v>
      </c>
      <c r="AI67" s="119"/>
      <c r="AJ67" s="117"/>
      <c r="AK67" s="138" t="str">
        <f t="shared" si="16"/>
        <v>ABS</v>
      </c>
      <c r="AL67" s="117"/>
      <c r="AM67" s="138" t="str">
        <f t="shared" si="17"/>
        <v>ABS</v>
      </c>
      <c r="AN67" s="193" t="str">
        <f t="shared" si="18"/>
        <v>ABS</v>
      </c>
      <c r="AO67" s="154" t="str">
        <f t="shared" si="19"/>
        <v>ABS</v>
      </c>
      <c r="AP67" s="120"/>
      <c r="AQ67" s="117"/>
      <c r="AR67" s="138" t="str">
        <f t="shared" si="20"/>
        <v>ABS</v>
      </c>
      <c r="AS67" s="117"/>
      <c r="AT67" s="138" t="str">
        <f t="shared" si="21"/>
        <v>ABS</v>
      </c>
      <c r="AU67" s="193" t="str">
        <f t="shared" si="22"/>
        <v>ABS</v>
      </c>
      <c r="AV67" s="154" t="str">
        <f t="shared" si="23"/>
        <v>ABS</v>
      </c>
      <c r="AW67" s="139"/>
      <c r="AX67" s="140"/>
      <c r="AY67" s="141"/>
      <c r="AZ67" s="138" t="str">
        <f t="shared" si="24"/>
        <v>ABS</v>
      </c>
      <c r="BA67" s="141"/>
      <c r="BB67" s="138" t="str">
        <f t="shared" si="25"/>
        <v>ABS</v>
      </c>
      <c r="BC67" s="193" t="str">
        <f t="shared" si="26"/>
        <v>ABS</v>
      </c>
      <c r="BD67" s="188" t="str">
        <f t="shared" si="27"/>
        <v>ABS</v>
      </c>
    </row>
    <row r="68" spans="2:56" s="64" customFormat="1" ht="15.5">
      <c r="B68" s="194">
        <v>64</v>
      </c>
      <c r="C68" s="124"/>
      <c r="D68" s="147"/>
      <c r="E68" s="127"/>
      <c r="F68" s="127"/>
      <c r="G68" s="137" t="s">
        <v>23</v>
      </c>
      <c r="H68" s="117"/>
      <c r="I68" s="138" t="str">
        <f t="shared" si="0"/>
        <v>ABS</v>
      </c>
      <c r="J68" s="117"/>
      <c r="K68" s="138" t="str">
        <f t="shared" si="1"/>
        <v>ABS</v>
      </c>
      <c r="L68" s="192" t="str">
        <f t="shared" si="2"/>
        <v>ABS</v>
      </c>
      <c r="M68" s="154" t="str">
        <f t="shared" si="3"/>
        <v>ABS</v>
      </c>
      <c r="N68" s="137" t="s">
        <v>30</v>
      </c>
      <c r="O68" s="117"/>
      <c r="P68" s="138" t="str">
        <f t="shared" si="4"/>
        <v>ABS</v>
      </c>
      <c r="Q68" s="117"/>
      <c r="R68" s="138" t="str">
        <f t="shared" si="5"/>
        <v>ABS</v>
      </c>
      <c r="S68" s="193" t="str">
        <f t="shared" si="6"/>
        <v>ABS</v>
      </c>
      <c r="T68" s="154" t="str">
        <f t="shared" si="7"/>
        <v>ABS</v>
      </c>
      <c r="U68" s="137" t="s">
        <v>32</v>
      </c>
      <c r="V68" s="117"/>
      <c r="W68" s="138" t="str">
        <f t="shared" si="8"/>
        <v>ABS</v>
      </c>
      <c r="X68" s="117"/>
      <c r="Y68" s="138" t="str">
        <f t="shared" si="9"/>
        <v>ABS</v>
      </c>
      <c r="Z68" s="193" t="str">
        <f t="shared" si="10"/>
        <v>ABS</v>
      </c>
      <c r="AA68" s="154" t="str">
        <f t="shared" si="11"/>
        <v>ABS</v>
      </c>
      <c r="AB68" s="120"/>
      <c r="AC68" s="117"/>
      <c r="AD68" s="138" t="str">
        <f t="shared" si="12"/>
        <v>ABS</v>
      </c>
      <c r="AE68" s="117"/>
      <c r="AF68" s="138" t="str">
        <f t="shared" si="13"/>
        <v>ABS</v>
      </c>
      <c r="AG68" s="193" t="str">
        <f t="shared" si="14"/>
        <v>ABS</v>
      </c>
      <c r="AH68" s="154" t="str">
        <f t="shared" si="15"/>
        <v>ABS</v>
      </c>
      <c r="AI68" s="119"/>
      <c r="AJ68" s="117"/>
      <c r="AK68" s="138" t="str">
        <f t="shared" si="16"/>
        <v>ABS</v>
      </c>
      <c r="AL68" s="117"/>
      <c r="AM68" s="138" t="str">
        <f t="shared" si="17"/>
        <v>ABS</v>
      </c>
      <c r="AN68" s="193" t="str">
        <f t="shared" si="18"/>
        <v>ABS</v>
      </c>
      <c r="AO68" s="154" t="str">
        <f t="shared" si="19"/>
        <v>ABS</v>
      </c>
      <c r="AP68" s="120"/>
      <c r="AQ68" s="117"/>
      <c r="AR68" s="138" t="str">
        <f t="shared" si="20"/>
        <v>ABS</v>
      </c>
      <c r="AS68" s="117"/>
      <c r="AT68" s="138" t="str">
        <f t="shared" si="21"/>
        <v>ABS</v>
      </c>
      <c r="AU68" s="193" t="str">
        <f t="shared" si="22"/>
        <v>ABS</v>
      </c>
      <c r="AV68" s="154" t="str">
        <f t="shared" si="23"/>
        <v>ABS</v>
      </c>
      <c r="AW68" s="139"/>
      <c r="AX68" s="140"/>
      <c r="AY68" s="141"/>
      <c r="AZ68" s="138" t="str">
        <f t="shared" si="24"/>
        <v>ABS</v>
      </c>
      <c r="BA68" s="141"/>
      <c r="BB68" s="138" t="str">
        <f t="shared" si="25"/>
        <v>ABS</v>
      </c>
      <c r="BC68" s="193" t="str">
        <f t="shared" si="26"/>
        <v>ABS</v>
      </c>
      <c r="BD68" s="188" t="str">
        <f t="shared" si="27"/>
        <v>ABS</v>
      </c>
    </row>
    <row r="69" spans="2:56" s="64" customFormat="1" ht="15.5">
      <c r="B69" s="194">
        <v>65</v>
      </c>
      <c r="C69" s="124"/>
      <c r="D69" s="147"/>
      <c r="E69" s="127"/>
      <c r="F69" s="127"/>
      <c r="G69" s="137" t="s">
        <v>23</v>
      </c>
      <c r="H69" s="117"/>
      <c r="I69" s="138" t="str">
        <f t="shared" si="0"/>
        <v>ABS</v>
      </c>
      <c r="J69" s="117"/>
      <c r="K69" s="138" t="str">
        <f t="shared" si="1"/>
        <v>ABS</v>
      </c>
      <c r="L69" s="192" t="str">
        <f t="shared" si="2"/>
        <v>ABS</v>
      </c>
      <c r="M69" s="154" t="str">
        <f t="shared" si="3"/>
        <v>ABS</v>
      </c>
      <c r="N69" s="137" t="s">
        <v>30</v>
      </c>
      <c r="O69" s="117"/>
      <c r="P69" s="138" t="str">
        <f t="shared" si="4"/>
        <v>ABS</v>
      </c>
      <c r="Q69" s="117"/>
      <c r="R69" s="138" t="str">
        <f t="shared" si="5"/>
        <v>ABS</v>
      </c>
      <c r="S69" s="193" t="str">
        <f t="shared" si="6"/>
        <v>ABS</v>
      </c>
      <c r="T69" s="154" t="str">
        <f t="shared" si="7"/>
        <v>ABS</v>
      </c>
      <c r="U69" s="137" t="s">
        <v>32</v>
      </c>
      <c r="V69" s="117"/>
      <c r="W69" s="138" t="str">
        <f t="shared" si="8"/>
        <v>ABS</v>
      </c>
      <c r="X69" s="117"/>
      <c r="Y69" s="138" t="str">
        <f t="shared" si="9"/>
        <v>ABS</v>
      </c>
      <c r="Z69" s="193" t="str">
        <f t="shared" si="10"/>
        <v>ABS</v>
      </c>
      <c r="AA69" s="154" t="str">
        <f t="shared" si="11"/>
        <v>ABS</v>
      </c>
      <c r="AB69" s="120"/>
      <c r="AC69" s="117"/>
      <c r="AD69" s="138" t="str">
        <f t="shared" si="12"/>
        <v>ABS</v>
      </c>
      <c r="AE69" s="117"/>
      <c r="AF69" s="138" t="str">
        <f t="shared" si="13"/>
        <v>ABS</v>
      </c>
      <c r="AG69" s="193" t="str">
        <f t="shared" si="14"/>
        <v>ABS</v>
      </c>
      <c r="AH69" s="154" t="str">
        <f t="shared" si="15"/>
        <v>ABS</v>
      </c>
      <c r="AI69" s="119"/>
      <c r="AJ69" s="117"/>
      <c r="AK69" s="138" t="str">
        <f t="shared" si="16"/>
        <v>ABS</v>
      </c>
      <c r="AL69" s="117"/>
      <c r="AM69" s="138" t="str">
        <f t="shared" si="17"/>
        <v>ABS</v>
      </c>
      <c r="AN69" s="193" t="str">
        <f t="shared" si="18"/>
        <v>ABS</v>
      </c>
      <c r="AO69" s="154" t="str">
        <f t="shared" si="19"/>
        <v>ABS</v>
      </c>
      <c r="AP69" s="120"/>
      <c r="AQ69" s="117"/>
      <c r="AR69" s="138" t="str">
        <f t="shared" si="20"/>
        <v>ABS</v>
      </c>
      <c r="AS69" s="117"/>
      <c r="AT69" s="138" t="str">
        <f t="shared" si="21"/>
        <v>ABS</v>
      </c>
      <c r="AU69" s="193" t="str">
        <f t="shared" si="22"/>
        <v>ABS</v>
      </c>
      <c r="AV69" s="154" t="str">
        <f t="shared" si="23"/>
        <v>ABS</v>
      </c>
      <c r="AW69" s="139"/>
      <c r="AX69" s="140"/>
      <c r="AY69" s="141"/>
      <c r="AZ69" s="138" t="str">
        <f t="shared" si="24"/>
        <v>ABS</v>
      </c>
      <c r="BA69" s="141"/>
      <c r="BB69" s="138" t="str">
        <f t="shared" si="25"/>
        <v>ABS</v>
      </c>
      <c r="BC69" s="193" t="str">
        <f t="shared" si="26"/>
        <v>ABS</v>
      </c>
      <c r="BD69" s="188" t="str">
        <f t="shared" si="27"/>
        <v>ABS</v>
      </c>
    </row>
    <row r="70" spans="2:56" s="64" customFormat="1" ht="15.5">
      <c r="B70" s="194">
        <v>66</v>
      </c>
      <c r="C70" s="124"/>
      <c r="D70" s="147"/>
      <c r="E70" s="127"/>
      <c r="F70" s="127"/>
      <c r="G70" s="137" t="s">
        <v>23</v>
      </c>
      <c r="H70" s="117"/>
      <c r="I70" s="138" t="str">
        <f t="shared" ref="I70:I124" si="41">IF(H70/H$4&gt;=0.9,"4.0",IF(H70/H$4&gt;=0.8,"3.6",IF(H70/H$4&gt;=0.7,"3.2",IF(H70/H$4&gt;=0.6,"2.8",IF(H70/H$4&gt;=0.5,"2.4",IF(H70/H$4&gt;=0.4,"2.0",IF(H70/H$4&gt;=0.35,"1.6",IF(H70/H$4&gt;0,"-","ABS"))))))))</f>
        <v>ABS</v>
      </c>
      <c r="J70" s="117"/>
      <c r="K70" s="138" t="str">
        <f t="shared" ref="K70:K133" si="42">IF(J70/J$4&gt;=0.9,"4.0",IF(J70/J$4&gt;=0.8,"3.6",IF(J70/J$4&gt;=0.7,"3.2",IF(J70/J$4&gt;=0.6,"2.8",IF(J70/J$4&gt;=0.5,"2.4",IF(J70/J$4&gt;=0.4,"2.0",IF(J70/J$4&gt;=0.35,"1.6",IF(J70/J$4&gt;0,"-","ABS"))))))))</f>
        <v>ABS</v>
      </c>
      <c r="L70" s="192" t="str">
        <f t="shared" ref="L70:L133" si="43">IFERROR(IF(I70="ABS","ABS",IF(I70="NG","NG",(I70*2.25+K70*0.75)/3)),"NG")</f>
        <v>ABS</v>
      </c>
      <c r="M70" s="154" t="str">
        <f t="shared" ref="M70:M133" si="44">IF(L70="ABS","ABS",IF(L70="NG","NG",IF(L70&gt;3.6,"A+",IF(L70&gt;3.2,"A",IF(L70&gt;2.8,"B+",IF(L70&gt;2.4,"B",IF(L70&gt;2,"C+",IF(L70&gt;1.6,"C",IF(L70&gt;0,"D","")))))))))</f>
        <v>ABS</v>
      </c>
      <c r="N70" s="137" t="s">
        <v>30</v>
      </c>
      <c r="O70" s="117"/>
      <c r="P70" s="138" t="str">
        <f t="shared" ref="P70:P124" si="45">IF(O70/O$4&gt;=0.9,"4.0",IF(O70/O$4&gt;=0.8,"3.6",IF(O70/O$4&gt;=0.7,"3.2",IF(O70/O$4&gt;=0.6,"2.8",IF(O70/O$4&gt;=0.5,"2.4",IF(O70/O$4&gt;=0.4,"2.0",IF(O70/O$4&gt;=0.35,"1.6",IF(O70/O$4&gt;0,"-","ABS"))))))))</f>
        <v>ABS</v>
      </c>
      <c r="Q70" s="117"/>
      <c r="R70" s="138" t="str">
        <f t="shared" ref="R70:R133" si="46">IF(Q70/Q$4&gt;=0.9,"4.0",IF(Q70/Q$4&gt;=0.8,"3.6",IF(Q70/Q$4&gt;=0.7,"3.2",IF(Q70/Q$4&gt;=0.6,"2.8",IF(Q70/Q$4&gt;=0.5,"2.4",IF(Q70/Q$4&gt;=0.4,"2.0",IF(Q70/Q$4&gt;=0.35,"1.6",IF(Q70/Q$4&gt;0,"-","ABS"))))))))</f>
        <v>ABS</v>
      </c>
      <c r="S70" s="193" t="str">
        <f t="shared" ref="S70:S133" si="47">IFERROR(IF(P70="ABS","ABS",IF(P70="NG","NG",(P70*3+R70*1)/4)),"NG")</f>
        <v>ABS</v>
      </c>
      <c r="T70" s="154" t="str">
        <f t="shared" ref="T70:T133" si="48">IF(S70="ABS","ABS",IF(S70="NG","NG",IF(S70&gt;3.6,"A+",IF(S70&gt;3.2,"A",IF(S70&gt;2.8,"B+",IF(S70&gt;2.4,"B",IF(S70&gt;2,"C+",IF(S70&gt;1.6,"C",IF(S70&gt;0,"D","")))))))))</f>
        <v>ABS</v>
      </c>
      <c r="U70" s="137" t="s">
        <v>32</v>
      </c>
      <c r="V70" s="117"/>
      <c r="W70" s="138" t="str">
        <f t="shared" ref="W70:W124" si="49">IF(V70/V$4&gt;=0.9,"4.0",IF(V70/V$4&gt;=0.8,"3.6",IF(V70/V$4&gt;=0.7,"3.2",IF(V70/V$4&gt;=0.6,"2.8",IF(V70/V$4&gt;=0.5,"2.4",IF(V70/V$4&gt;=0.4,"2.0",IF(V70/V$4&gt;=0.35,"1.6",IF(V70/V$4&gt;0,"-","ABS"))))))))</f>
        <v>ABS</v>
      </c>
      <c r="X70" s="117"/>
      <c r="Y70" s="138" t="str">
        <f t="shared" ref="Y70:Y133" si="50">IF(X70/X$4&gt;=0.9,"4.0",IF(X70/X$4&gt;=0.8,"3.6",IF(X70/X$4&gt;=0.7,"3.2",IF(X70/X$4&gt;=0.6,"2.8",IF(X70/X$4&gt;=0.5,"2.4",IF(X70/X$4&gt;=0.4,"2.0",IF(X70/X$4&gt;=0.35,"1.6",IF(X70/X$4&gt;0,"-","ABS"))))))))</f>
        <v>ABS</v>
      </c>
      <c r="Z70" s="193" t="str">
        <f t="shared" ref="Z70:Z133" si="51">IFERROR(IF(W70="ABS","ABS",IF(W70="NG","NG",(W70*3.75+Y70*1.25)/5)),"NG")</f>
        <v>ABS</v>
      </c>
      <c r="AA70" s="154" t="str">
        <f t="shared" ref="AA70:AA133" si="52">IF(Z70="ABS","ABS",IF(Z70="NG","NG",IF(Z70&gt;3.6,"A+",IF(Z70&gt;3.2,"A",IF(Z70&gt;2.8,"B+",IF(Z70&gt;2.4,"B",IF(Z70&gt;2,"C+",IF(Z70&gt;1.6,"C",IF(Z70&gt;0,"D","")))))))))</f>
        <v>ABS</v>
      </c>
      <c r="AB70" s="120"/>
      <c r="AC70" s="117"/>
      <c r="AD70" s="138" t="str">
        <f t="shared" ref="AD70:AD124" si="53">IF(AC70/AC$4&gt;=0.9,"4.0",IF(AC70/AC$4&gt;=0.8,"3.6",IF(AC70/AC$4&gt;=0.7,"3.2",IF(AC70/AC$4&gt;=0.6,"2.8",IF(AC70/AC$4&gt;=0.5,"2.4",IF(AC70/AC$4&gt;=0.4,"2.0",IF(AC70/AC$4&gt;=0.35,"1.6",IF(AC70/AC$4&gt;0,"-","ABS"))))))))</f>
        <v>ABS</v>
      </c>
      <c r="AE70" s="117"/>
      <c r="AF70" s="138" t="str">
        <f t="shared" ref="AF70:AF133" si="54">IF(AE70/AE$4&gt;=0.9,"4.0",IF(AE70/AE$4&gt;=0.8,"3.6",IF(AE70/AE$4&gt;=0.7,"3.2",IF(AE70/AE$4&gt;=0.6,"2.8",IF(AE70/AE$4&gt;=0.5,"2.4",IF(AE70/AE$4&gt;=0.4,"2.0",IF(AE70/AE$4&gt;=0.35,"1.6",IF(AE70/AE$4&gt;0,"-","ABS"))))))))</f>
        <v>ABS</v>
      </c>
      <c r="AG70" s="193" t="str">
        <f t="shared" ref="AG70:AG133" si="55">IFERROR(IF(AD70="ABS","ABS",IF(AD70="NG","NG",(AD70*3.75+AF70*1.25)/5)),"NG")</f>
        <v>ABS</v>
      </c>
      <c r="AH70" s="154" t="str">
        <f t="shared" ref="AH70:AH133" si="56">IF(AG70="ABS","ABS",IF(AG70="NG","NG",IF(AG70&gt;3.6,"A+",IF(AG70&gt;3.2,"A",IF(AG70&gt;2.8,"B+",IF(AG70&gt;2.4,"B",IF(AG70&gt;2,"C+",IF(AG70&gt;1.6,"C",IF(AG70&gt;0,"D","")))))))))</f>
        <v>ABS</v>
      </c>
      <c r="AI70" s="119"/>
      <c r="AJ70" s="117"/>
      <c r="AK70" s="138" t="str">
        <f t="shared" ref="AK70:AK124" si="57">IF(AJ70/AJ$4&gt;=0.9,"4.0",IF(AJ70/AJ$4&gt;=0.8,"3.6",IF(AJ70/AJ$4&gt;=0.7,"3.2",IF(AJ70/AJ$4&gt;=0.6,"2.8",IF(AJ70/AJ$4&gt;=0.5,"2.4",IF(AJ70/AJ$4&gt;=0.4,"2.0",IF(AJ70/AJ$4&gt;=0.35,"1.6",IF(AJ70/AJ$4&gt;0,"-","ABS"))))))))</f>
        <v>ABS</v>
      </c>
      <c r="AL70" s="117"/>
      <c r="AM70" s="138" t="str">
        <f t="shared" ref="AM70:AM133" si="58">IF(AL70/AL$4&gt;=0.9,"4.0",IF(AL70/AL$4&gt;=0.8,"3.6",IF(AL70/AL$4&gt;=0.7,"3.2",IF(AL70/AL$4&gt;=0.6,"2.8",IF(AL70/AL$4&gt;=0.5,"2.4",IF(AL70/AL$4&gt;=0.4,"2.0",IF(AL70/AL$4&gt;=0.35,"1.6",IF(AL70/AL$4&gt;0,"-","ABS"))))))))</f>
        <v>ABS</v>
      </c>
      <c r="AN70" s="193" t="str">
        <f t="shared" ref="AN70:AN133" si="59">IFERROR(IF(AK70="ABS","ABS",IF(AK70="NG","NG",(AK70*3.75+AM70*1.25)/5)),"NG")</f>
        <v>ABS</v>
      </c>
      <c r="AO70" s="154" t="str">
        <f t="shared" ref="AO70:AO133" si="60">IF(AN70="ABS","ABS",IF(AN70="NG","NG",IF(AN70&gt;3.6,"A+",IF(AN70&gt;3.2,"A",IF(AN70&gt;2.8,"B+",IF(AN70&gt;2.4,"B",IF(AN70&gt;2,"C+",IF(AN70&gt;1.6,"C",IF(AN70&gt;0,"D","")))))))))</f>
        <v>ABS</v>
      </c>
      <c r="AP70" s="120"/>
      <c r="AQ70" s="117"/>
      <c r="AR70" s="138" t="str">
        <f t="shared" ref="AR70:AR133" si="61">IF(AQ70/AQ$4&gt;=0.9,"4.0",IF(AQ70/AQ$4&gt;=0.8,"3.6",IF(AQ70/AQ$4&gt;=0.7,"3.2",IF(AQ70/AQ$4&gt;=0.6,"2.8",IF(AQ70/AQ$4&gt;=0.5,"2.4",IF(AQ70/AQ$4&gt;=0.4,"2.0",IF(AQ70/AQ$4&gt;=0.35,"1.6",IF(AQ70/AQ$4&gt;0,"-","ABS"))))))))</f>
        <v>ABS</v>
      </c>
      <c r="AS70" s="117"/>
      <c r="AT70" s="138" t="str">
        <f t="shared" ref="AT70:AT133" si="62">IF(AS70/AS$4&gt;=0.9,"4.0",IF(AS70/AS$4&gt;=0.8,"3.6",IF(AS70/AS$4&gt;=0.7,"3.2",IF(AS70/AS$4&gt;=0.6,"2.8",IF(AS70/AS$4&gt;=0.5,"2.4",IF(AS70/AS$4&gt;=0.4,"2.0",IF(AS70/AS$4&gt;=0.35,"1.6",IF(AS70/AS$4&gt;0,"-","ABS"))))))))</f>
        <v>ABS</v>
      </c>
      <c r="AU70" s="193" t="str">
        <f t="shared" ref="AU70:AU133" si="63">IFERROR(IF(AR70="ABS","ABS",IF(AR70="NG","NG",(AR70*3.75+AT70*1.25)/5)),"NG")</f>
        <v>ABS</v>
      </c>
      <c r="AV70" s="154" t="str">
        <f t="shared" ref="AV70:AV133" si="64">IF(AU70="ABS","ABS",IF(AU70="NG","NG",IF(AU70&gt;3.6,"A+",IF(AU70&gt;3.2,"A",IF(AU70&gt;2.8,"B+",IF(AU70&gt;2.4,"B",IF(AU70&gt;2,"C+",IF(AU70&gt;1.6,"C",IF(AU70&gt;0,"D","")))))))))</f>
        <v>ABS</v>
      </c>
      <c r="AW70" s="139"/>
      <c r="AX70" s="140"/>
      <c r="AY70" s="141"/>
      <c r="AZ70" s="138" t="str">
        <f t="shared" ref="AZ70:AZ133" si="65">IF(AY70/AY$4&gt;=0.9,"4.0",IF(AY70/AY$4&gt;=0.8,"3.6",IF(AY70/AY$4&gt;=0.7,"3.2",IF(AY70/AY$4&gt;=0.6,"2.8",IF(AY70/AY$4&gt;=0.5,"2.4",IF(AY70/AY$4&gt;=0.4,"2.0",IF(AY70/AY$4&gt;=0.35,"1.6",IF(AY70/AY$4&gt;0,"-","ABS"))))))))</f>
        <v>ABS</v>
      </c>
      <c r="BA70" s="141"/>
      <c r="BB70" s="138" t="str">
        <f t="shared" ref="BB70:BB133" si="66">IF(BA70/BA$4&gt;=0.9,"4.0",IF(BA70/BA$4&gt;=0.8,"3.6",IF(BA70/BA$4&gt;=0.7,"3.2",IF(BA70/BA$4&gt;=0.6,"2.8",IF(BA70/BA$4&gt;=0.5,"2.4",IF(BA70/BA$4&gt;=0.4,"2.0",IF(BA70/BA$4&gt;=0.35,"1.6",IF(BA70/BA$4&gt;0,"-","ABS"))))))))</f>
        <v>ABS</v>
      </c>
      <c r="BC70" s="193" t="str">
        <f t="shared" ref="BC70:BC133" si="67">IFERROR(IF(AZ70="ABS","ABS",IF(AZ70="NG","NG",(AZ70*3.75+BB70*1.25)/5)),"NG")</f>
        <v>ABS</v>
      </c>
      <c r="BD70" s="188" t="str">
        <f t="shared" ref="BD70:BD133" si="68">IF(BC70="ABS","ABS",IF(BC70="NG","NG",IF(BC70&gt;3.6,"A+",IF(BC70&gt;3.2,"A",IF(BC70&gt;2.8,"B+",IF(BC70&gt;2.4,"B",IF(BC70&gt;2,"C+",IF(BC70&gt;1.6,"C",IF(BC70&gt;0,"D","")))))))))</f>
        <v>ABS</v>
      </c>
    </row>
    <row r="71" spans="2:56" s="64" customFormat="1" ht="15.5">
      <c r="B71" s="194">
        <v>67</v>
      </c>
      <c r="C71" s="124"/>
      <c r="D71" s="147"/>
      <c r="E71" s="127"/>
      <c r="F71" s="127"/>
      <c r="G71" s="137" t="s">
        <v>23</v>
      </c>
      <c r="H71" s="117"/>
      <c r="I71" s="138" t="str">
        <f t="shared" si="41"/>
        <v>ABS</v>
      </c>
      <c r="J71" s="117"/>
      <c r="K71" s="138" t="str">
        <f t="shared" si="42"/>
        <v>ABS</v>
      </c>
      <c r="L71" s="192" t="str">
        <f t="shared" si="43"/>
        <v>ABS</v>
      </c>
      <c r="M71" s="154" t="str">
        <f t="shared" si="44"/>
        <v>ABS</v>
      </c>
      <c r="N71" s="137" t="s">
        <v>30</v>
      </c>
      <c r="O71" s="117"/>
      <c r="P71" s="138" t="str">
        <f t="shared" si="45"/>
        <v>ABS</v>
      </c>
      <c r="Q71" s="117"/>
      <c r="R71" s="138" t="str">
        <f t="shared" si="46"/>
        <v>ABS</v>
      </c>
      <c r="S71" s="193" t="str">
        <f t="shared" si="47"/>
        <v>ABS</v>
      </c>
      <c r="T71" s="154" t="str">
        <f t="shared" si="48"/>
        <v>ABS</v>
      </c>
      <c r="U71" s="137" t="s">
        <v>32</v>
      </c>
      <c r="V71" s="117"/>
      <c r="W71" s="138" t="str">
        <f t="shared" si="49"/>
        <v>ABS</v>
      </c>
      <c r="X71" s="117"/>
      <c r="Y71" s="138" t="str">
        <f t="shared" si="50"/>
        <v>ABS</v>
      </c>
      <c r="Z71" s="193" t="str">
        <f t="shared" si="51"/>
        <v>ABS</v>
      </c>
      <c r="AA71" s="154" t="str">
        <f t="shared" si="52"/>
        <v>ABS</v>
      </c>
      <c r="AB71" s="120"/>
      <c r="AC71" s="117"/>
      <c r="AD71" s="138" t="str">
        <f t="shared" si="53"/>
        <v>ABS</v>
      </c>
      <c r="AE71" s="117"/>
      <c r="AF71" s="138" t="str">
        <f t="shared" si="54"/>
        <v>ABS</v>
      </c>
      <c r="AG71" s="193" t="str">
        <f t="shared" si="55"/>
        <v>ABS</v>
      </c>
      <c r="AH71" s="154" t="str">
        <f t="shared" si="56"/>
        <v>ABS</v>
      </c>
      <c r="AI71" s="119"/>
      <c r="AJ71" s="117"/>
      <c r="AK71" s="138" t="str">
        <f t="shared" si="57"/>
        <v>ABS</v>
      </c>
      <c r="AL71" s="117"/>
      <c r="AM71" s="138" t="str">
        <f t="shared" si="58"/>
        <v>ABS</v>
      </c>
      <c r="AN71" s="193" t="str">
        <f t="shared" si="59"/>
        <v>ABS</v>
      </c>
      <c r="AO71" s="154" t="str">
        <f t="shared" si="60"/>
        <v>ABS</v>
      </c>
      <c r="AP71" s="120"/>
      <c r="AQ71" s="117"/>
      <c r="AR71" s="138" t="str">
        <f t="shared" si="61"/>
        <v>ABS</v>
      </c>
      <c r="AS71" s="117"/>
      <c r="AT71" s="138" t="str">
        <f t="shared" si="62"/>
        <v>ABS</v>
      </c>
      <c r="AU71" s="193" t="str">
        <f t="shared" si="63"/>
        <v>ABS</v>
      </c>
      <c r="AV71" s="154" t="str">
        <f t="shared" si="64"/>
        <v>ABS</v>
      </c>
      <c r="AW71" s="139"/>
      <c r="AX71" s="140"/>
      <c r="AY71" s="141"/>
      <c r="AZ71" s="138" t="str">
        <f t="shared" si="65"/>
        <v>ABS</v>
      </c>
      <c r="BA71" s="141"/>
      <c r="BB71" s="138" t="str">
        <f t="shared" si="66"/>
        <v>ABS</v>
      </c>
      <c r="BC71" s="193" t="str">
        <f t="shared" si="67"/>
        <v>ABS</v>
      </c>
      <c r="BD71" s="188" t="str">
        <f t="shared" si="68"/>
        <v>ABS</v>
      </c>
    </row>
    <row r="72" spans="2:56" s="64" customFormat="1" ht="15.5">
      <c r="B72" s="194">
        <v>68</v>
      </c>
      <c r="C72" s="124"/>
      <c r="D72" s="147"/>
      <c r="E72" s="127"/>
      <c r="F72" s="127"/>
      <c r="G72" s="137" t="s">
        <v>23</v>
      </c>
      <c r="H72" s="117"/>
      <c r="I72" s="138" t="str">
        <f t="shared" si="41"/>
        <v>ABS</v>
      </c>
      <c r="J72" s="117"/>
      <c r="K72" s="138" t="str">
        <f t="shared" si="42"/>
        <v>ABS</v>
      </c>
      <c r="L72" s="192" t="str">
        <f t="shared" si="43"/>
        <v>ABS</v>
      </c>
      <c r="M72" s="154" t="str">
        <f t="shared" si="44"/>
        <v>ABS</v>
      </c>
      <c r="N72" s="137" t="s">
        <v>30</v>
      </c>
      <c r="O72" s="117"/>
      <c r="P72" s="138" t="str">
        <f t="shared" si="45"/>
        <v>ABS</v>
      </c>
      <c r="Q72" s="117"/>
      <c r="R72" s="138" t="str">
        <f t="shared" si="46"/>
        <v>ABS</v>
      </c>
      <c r="S72" s="193" t="str">
        <f t="shared" si="47"/>
        <v>ABS</v>
      </c>
      <c r="T72" s="154" t="str">
        <f t="shared" si="48"/>
        <v>ABS</v>
      </c>
      <c r="U72" s="137" t="s">
        <v>32</v>
      </c>
      <c r="V72" s="117"/>
      <c r="W72" s="138" t="str">
        <f t="shared" si="49"/>
        <v>ABS</v>
      </c>
      <c r="X72" s="117"/>
      <c r="Y72" s="138" t="str">
        <f t="shared" si="50"/>
        <v>ABS</v>
      </c>
      <c r="Z72" s="193" t="str">
        <f t="shared" si="51"/>
        <v>ABS</v>
      </c>
      <c r="AA72" s="154" t="str">
        <f t="shared" si="52"/>
        <v>ABS</v>
      </c>
      <c r="AB72" s="120"/>
      <c r="AC72" s="117"/>
      <c r="AD72" s="138" t="str">
        <f t="shared" si="53"/>
        <v>ABS</v>
      </c>
      <c r="AE72" s="117"/>
      <c r="AF72" s="138" t="str">
        <f t="shared" si="54"/>
        <v>ABS</v>
      </c>
      <c r="AG72" s="193" t="str">
        <f t="shared" si="55"/>
        <v>ABS</v>
      </c>
      <c r="AH72" s="154" t="str">
        <f t="shared" si="56"/>
        <v>ABS</v>
      </c>
      <c r="AI72" s="119"/>
      <c r="AJ72" s="117"/>
      <c r="AK72" s="138" t="str">
        <f t="shared" si="57"/>
        <v>ABS</v>
      </c>
      <c r="AL72" s="117"/>
      <c r="AM72" s="138" t="str">
        <f t="shared" si="58"/>
        <v>ABS</v>
      </c>
      <c r="AN72" s="193" t="str">
        <f t="shared" si="59"/>
        <v>ABS</v>
      </c>
      <c r="AO72" s="154" t="str">
        <f t="shared" si="60"/>
        <v>ABS</v>
      </c>
      <c r="AP72" s="120"/>
      <c r="AQ72" s="117"/>
      <c r="AR72" s="138" t="str">
        <f t="shared" si="61"/>
        <v>ABS</v>
      </c>
      <c r="AS72" s="117"/>
      <c r="AT72" s="138" t="str">
        <f t="shared" si="62"/>
        <v>ABS</v>
      </c>
      <c r="AU72" s="193" t="str">
        <f t="shared" si="63"/>
        <v>ABS</v>
      </c>
      <c r="AV72" s="154" t="str">
        <f t="shared" si="64"/>
        <v>ABS</v>
      </c>
      <c r="AW72" s="139"/>
      <c r="AX72" s="140"/>
      <c r="AY72" s="141"/>
      <c r="AZ72" s="138" t="str">
        <f t="shared" si="65"/>
        <v>ABS</v>
      </c>
      <c r="BA72" s="141"/>
      <c r="BB72" s="138" t="str">
        <f t="shared" si="66"/>
        <v>ABS</v>
      </c>
      <c r="BC72" s="193" t="str">
        <f t="shared" si="67"/>
        <v>ABS</v>
      </c>
      <c r="BD72" s="188" t="str">
        <f t="shared" si="68"/>
        <v>ABS</v>
      </c>
    </row>
    <row r="73" spans="2:56" ht="15.5">
      <c r="B73" s="191">
        <v>69</v>
      </c>
      <c r="C73" s="124"/>
      <c r="D73" s="147"/>
      <c r="E73" s="127"/>
      <c r="F73" s="127"/>
      <c r="G73" s="134" t="s">
        <v>23</v>
      </c>
      <c r="H73" s="117"/>
      <c r="I73" s="138" t="str">
        <f t="shared" si="41"/>
        <v>ABS</v>
      </c>
      <c r="J73" s="117"/>
      <c r="K73" s="135" t="str">
        <f t="shared" si="42"/>
        <v>ABS</v>
      </c>
      <c r="L73" s="192" t="str">
        <f t="shared" si="43"/>
        <v>ABS</v>
      </c>
      <c r="M73" s="154" t="str">
        <f t="shared" si="44"/>
        <v>ABS</v>
      </c>
      <c r="N73" s="134" t="s">
        <v>30</v>
      </c>
      <c r="O73" s="117"/>
      <c r="P73" s="138" t="str">
        <f t="shared" si="45"/>
        <v>ABS</v>
      </c>
      <c r="Q73" s="117"/>
      <c r="R73" s="135" t="str">
        <f t="shared" si="46"/>
        <v>ABS</v>
      </c>
      <c r="S73" s="193" t="str">
        <f t="shared" si="47"/>
        <v>ABS</v>
      </c>
      <c r="T73" s="154" t="str">
        <f t="shared" si="48"/>
        <v>ABS</v>
      </c>
      <c r="U73" s="137" t="s">
        <v>32</v>
      </c>
      <c r="V73" s="117"/>
      <c r="W73" s="138" t="str">
        <f t="shared" si="49"/>
        <v>ABS</v>
      </c>
      <c r="X73" s="117"/>
      <c r="Y73" s="135" t="str">
        <f t="shared" si="50"/>
        <v>ABS</v>
      </c>
      <c r="Z73" s="193" t="str">
        <f t="shared" si="51"/>
        <v>ABS</v>
      </c>
      <c r="AA73" s="154" t="str">
        <f t="shared" si="52"/>
        <v>ABS</v>
      </c>
      <c r="AB73" s="120"/>
      <c r="AC73" s="117"/>
      <c r="AD73" s="138" t="str">
        <f t="shared" si="53"/>
        <v>ABS</v>
      </c>
      <c r="AE73" s="117"/>
      <c r="AF73" s="135" t="str">
        <f t="shared" si="54"/>
        <v>ABS</v>
      </c>
      <c r="AG73" s="193" t="str">
        <f t="shared" si="55"/>
        <v>ABS</v>
      </c>
      <c r="AH73" s="154" t="str">
        <f t="shared" si="56"/>
        <v>ABS</v>
      </c>
      <c r="AI73" s="119"/>
      <c r="AJ73" s="117"/>
      <c r="AK73" s="138" t="str">
        <f t="shared" si="57"/>
        <v>ABS</v>
      </c>
      <c r="AL73" s="117"/>
      <c r="AM73" s="135" t="str">
        <f t="shared" si="58"/>
        <v>ABS</v>
      </c>
      <c r="AN73" s="193" t="str">
        <f t="shared" si="59"/>
        <v>ABS</v>
      </c>
      <c r="AO73" s="154" t="str">
        <f t="shared" si="60"/>
        <v>ABS</v>
      </c>
      <c r="AP73" s="120"/>
      <c r="AQ73" s="117"/>
      <c r="AR73" s="138" t="str">
        <f t="shared" si="61"/>
        <v>ABS</v>
      </c>
      <c r="AS73" s="117"/>
      <c r="AT73" s="135" t="str">
        <f t="shared" si="62"/>
        <v>ABS</v>
      </c>
      <c r="AU73" s="193" t="str">
        <f t="shared" si="63"/>
        <v>ABS</v>
      </c>
      <c r="AV73" s="154" t="str">
        <f t="shared" si="64"/>
        <v>ABS</v>
      </c>
      <c r="AW73" s="144"/>
      <c r="AX73" s="129"/>
      <c r="AY73" s="128"/>
      <c r="AZ73" s="135" t="str">
        <f t="shared" si="65"/>
        <v>ABS</v>
      </c>
      <c r="BA73" s="128"/>
      <c r="BB73" s="135" t="str">
        <f t="shared" si="66"/>
        <v>ABS</v>
      </c>
      <c r="BC73" s="193" t="str">
        <f t="shared" si="67"/>
        <v>ABS</v>
      </c>
      <c r="BD73" s="188" t="str">
        <f t="shared" si="68"/>
        <v>ABS</v>
      </c>
    </row>
    <row r="74" spans="2:56" ht="15.5">
      <c r="B74" s="191">
        <v>70</v>
      </c>
      <c r="C74" s="124"/>
      <c r="D74" s="147"/>
      <c r="E74" s="127"/>
      <c r="F74" s="127"/>
      <c r="G74" s="134" t="s">
        <v>23</v>
      </c>
      <c r="H74" s="117"/>
      <c r="I74" s="138" t="str">
        <f t="shared" si="41"/>
        <v>ABS</v>
      </c>
      <c r="J74" s="117"/>
      <c r="K74" s="135" t="str">
        <f t="shared" si="42"/>
        <v>ABS</v>
      </c>
      <c r="L74" s="192" t="str">
        <f t="shared" si="43"/>
        <v>ABS</v>
      </c>
      <c r="M74" s="154" t="str">
        <f t="shared" si="44"/>
        <v>ABS</v>
      </c>
      <c r="N74" s="134" t="s">
        <v>30</v>
      </c>
      <c r="O74" s="117"/>
      <c r="P74" s="138" t="str">
        <f t="shared" si="45"/>
        <v>ABS</v>
      </c>
      <c r="Q74" s="117"/>
      <c r="R74" s="135" t="str">
        <f t="shared" si="46"/>
        <v>ABS</v>
      </c>
      <c r="S74" s="193" t="str">
        <f t="shared" si="47"/>
        <v>ABS</v>
      </c>
      <c r="T74" s="154" t="str">
        <f t="shared" si="48"/>
        <v>ABS</v>
      </c>
      <c r="U74" s="137" t="s">
        <v>32</v>
      </c>
      <c r="V74" s="117"/>
      <c r="W74" s="138" t="str">
        <f t="shared" si="49"/>
        <v>ABS</v>
      </c>
      <c r="X74" s="117"/>
      <c r="Y74" s="135" t="str">
        <f t="shared" si="50"/>
        <v>ABS</v>
      </c>
      <c r="Z74" s="193" t="str">
        <f t="shared" si="51"/>
        <v>ABS</v>
      </c>
      <c r="AA74" s="154" t="str">
        <f t="shared" si="52"/>
        <v>ABS</v>
      </c>
      <c r="AB74" s="120"/>
      <c r="AC74" s="117"/>
      <c r="AD74" s="138" t="str">
        <f t="shared" si="53"/>
        <v>ABS</v>
      </c>
      <c r="AE74" s="117"/>
      <c r="AF74" s="135" t="str">
        <f t="shared" si="54"/>
        <v>ABS</v>
      </c>
      <c r="AG74" s="193" t="str">
        <f t="shared" si="55"/>
        <v>ABS</v>
      </c>
      <c r="AH74" s="154" t="str">
        <f t="shared" si="56"/>
        <v>ABS</v>
      </c>
      <c r="AI74" s="119"/>
      <c r="AJ74" s="117"/>
      <c r="AK74" s="138" t="str">
        <f t="shared" si="57"/>
        <v>ABS</v>
      </c>
      <c r="AL74" s="117"/>
      <c r="AM74" s="135" t="str">
        <f t="shared" si="58"/>
        <v>ABS</v>
      </c>
      <c r="AN74" s="193" t="str">
        <f t="shared" si="59"/>
        <v>ABS</v>
      </c>
      <c r="AO74" s="154" t="str">
        <f t="shared" si="60"/>
        <v>ABS</v>
      </c>
      <c r="AP74" s="120"/>
      <c r="AQ74" s="117"/>
      <c r="AR74" s="138" t="str">
        <f t="shared" si="61"/>
        <v>ABS</v>
      </c>
      <c r="AS74" s="117"/>
      <c r="AT74" s="135" t="str">
        <f t="shared" si="62"/>
        <v>ABS</v>
      </c>
      <c r="AU74" s="193" t="str">
        <f t="shared" si="63"/>
        <v>ABS</v>
      </c>
      <c r="AV74" s="154" t="str">
        <f t="shared" si="64"/>
        <v>ABS</v>
      </c>
      <c r="AW74" s="144"/>
      <c r="AX74" s="129"/>
      <c r="AY74" s="128"/>
      <c r="AZ74" s="135" t="str">
        <f t="shared" si="65"/>
        <v>ABS</v>
      </c>
      <c r="BA74" s="128"/>
      <c r="BB74" s="135" t="str">
        <f t="shared" si="66"/>
        <v>ABS</v>
      </c>
      <c r="BC74" s="193" t="str">
        <f t="shared" si="67"/>
        <v>ABS</v>
      </c>
      <c r="BD74" s="188" t="str">
        <f t="shared" si="68"/>
        <v>ABS</v>
      </c>
    </row>
    <row r="75" spans="2:56" ht="15.5">
      <c r="B75" s="191">
        <v>71</v>
      </c>
      <c r="C75" s="124"/>
      <c r="D75" s="147"/>
      <c r="E75" s="127"/>
      <c r="F75" s="127"/>
      <c r="G75" s="134" t="s">
        <v>23</v>
      </c>
      <c r="H75" s="117"/>
      <c r="I75" s="138" t="str">
        <f t="shared" si="41"/>
        <v>ABS</v>
      </c>
      <c r="J75" s="117"/>
      <c r="K75" s="135" t="str">
        <f t="shared" si="42"/>
        <v>ABS</v>
      </c>
      <c r="L75" s="192" t="str">
        <f t="shared" si="43"/>
        <v>ABS</v>
      </c>
      <c r="M75" s="154" t="str">
        <f t="shared" si="44"/>
        <v>ABS</v>
      </c>
      <c r="N75" s="134" t="s">
        <v>30</v>
      </c>
      <c r="O75" s="117"/>
      <c r="P75" s="138" t="str">
        <f t="shared" si="45"/>
        <v>ABS</v>
      </c>
      <c r="Q75" s="117"/>
      <c r="R75" s="135" t="str">
        <f t="shared" si="46"/>
        <v>ABS</v>
      </c>
      <c r="S75" s="193" t="str">
        <f t="shared" si="47"/>
        <v>ABS</v>
      </c>
      <c r="T75" s="154" t="str">
        <f t="shared" si="48"/>
        <v>ABS</v>
      </c>
      <c r="U75" s="137" t="s">
        <v>32</v>
      </c>
      <c r="V75" s="117"/>
      <c r="W75" s="138" t="str">
        <f t="shared" si="49"/>
        <v>ABS</v>
      </c>
      <c r="X75" s="117"/>
      <c r="Y75" s="135" t="str">
        <f t="shared" si="50"/>
        <v>ABS</v>
      </c>
      <c r="Z75" s="193" t="str">
        <f t="shared" si="51"/>
        <v>ABS</v>
      </c>
      <c r="AA75" s="154" t="str">
        <f t="shared" si="52"/>
        <v>ABS</v>
      </c>
      <c r="AB75" s="120"/>
      <c r="AC75" s="117"/>
      <c r="AD75" s="138" t="str">
        <f t="shared" si="53"/>
        <v>ABS</v>
      </c>
      <c r="AE75" s="117"/>
      <c r="AF75" s="135" t="str">
        <f t="shared" si="54"/>
        <v>ABS</v>
      </c>
      <c r="AG75" s="193" t="str">
        <f t="shared" si="55"/>
        <v>ABS</v>
      </c>
      <c r="AH75" s="154" t="str">
        <f t="shared" si="56"/>
        <v>ABS</v>
      </c>
      <c r="AI75" s="119"/>
      <c r="AJ75" s="117"/>
      <c r="AK75" s="138" t="str">
        <f t="shared" si="57"/>
        <v>ABS</v>
      </c>
      <c r="AL75" s="117"/>
      <c r="AM75" s="135" t="str">
        <f t="shared" si="58"/>
        <v>ABS</v>
      </c>
      <c r="AN75" s="193" t="str">
        <f t="shared" si="59"/>
        <v>ABS</v>
      </c>
      <c r="AO75" s="154" t="str">
        <f t="shared" si="60"/>
        <v>ABS</v>
      </c>
      <c r="AP75" s="120"/>
      <c r="AQ75" s="117"/>
      <c r="AR75" s="138" t="str">
        <f t="shared" si="61"/>
        <v>ABS</v>
      </c>
      <c r="AS75" s="117"/>
      <c r="AT75" s="135" t="str">
        <f t="shared" si="62"/>
        <v>ABS</v>
      </c>
      <c r="AU75" s="193" t="str">
        <f t="shared" si="63"/>
        <v>ABS</v>
      </c>
      <c r="AV75" s="154" t="str">
        <f t="shared" si="64"/>
        <v>ABS</v>
      </c>
      <c r="AW75" s="144"/>
      <c r="AX75" s="129"/>
      <c r="AY75" s="128"/>
      <c r="AZ75" s="135" t="str">
        <f t="shared" si="65"/>
        <v>ABS</v>
      </c>
      <c r="BA75" s="128"/>
      <c r="BB75" s="135" t="str">
        <f t="shared" si="66"/>
        <v>ABS</v>
      </c>
      <c r="BC75" s="193" t="str">
        <f t="shared" si="67"/>
        <v>ABS</v>
      </c>
      <c r="BD75" s="188" t="str">
        <f t="shared" si="68"/>
        <v>ABS</v>
      </c>
    </row>
    <row r="76" spans="2:56" ht="15.5">
      <c r="B76" s="191">
        <v>72</v>
      </c>
      <c r="C76" s="124"/>
      <c r="D76" s="147"/>
      <c r="E76" s="127"/>
      <c r="F76" s="127"/>
      <c r="G76" s="134" t="s">
        <v>23</v>
      </c>
      <c r="H76" s="117"/>
      <c r="I76" s="138" t="str">
        <f t="shared" si="41"/>
        <v>ABS</v>
      </c>
      <c r="J76" s="117"/>
      <c r="K76" s="135" t="str">
        <f t="shared" si="42"/>
        <v>ABS</v>
      </c>
      <c r="L76" s="192" t="str">
        <f t="shared" si="43"/>
        <v>ABS</v>
      </c>
      <c r="M76" s="154" t="str">
        <f t="shared" si="44"/>
        <v>ABS</v>
      </c>
      <c r="N76" s="134" t="s">
        <v>30</v>
      </c>
      <c r="O76" s="117"/>
      <c r="P76" s="138" t="str">
        <f t="shared" si="45"/>
        <v>ABS</v>
      </c>
      <c r="Q76" s="117"/>
      <c r="R76" s="135" t="str">
        <f t="shared" si="46"/>
        <v>ABS</v>
      </c>
      <c r="S76" s="193" t="str">
        <f t="shared" si="47"/>
        <v>ABS</v>
      </c>
      <c r="T76" s="154" t="str">
        <f t="shared" si="48"/>
        <v>ABS</v>
      </c>
      <c r="U76" s="137" t="s">
        <v>32</v>
      </c>
      <c r="V76" s="117"/>
      <c r="W76" s="138" t="str">
        <f t="shared" si="49"/>
        <v>ABS</v>
      </c>
      <c r="X76" s="117"/>
      <c r="Y76" s="135" t="str">
        <f t="shared" si="50"/>
        <v>ABS</v>
      </c>
      <c r="Z76" s="193" t="str">
        <f t="shared" si="51"/>
        <v>ABS</v>
      </c>
      <c r="AA76" s="154" t="str">
        <f t="shared" si="52"/>
        <v>ABS</v>
      </c>
      <c r="AB76" s="120"/>
      <c r="AC76" s="117"/>
      <c r="AD76" s="138" t="str">
        <f t="shared" si="53"/>
        <v>ABS</v>
      </c>
      <c r="AE76" s="117"/>
      <c r="AF76" s="135" t="str">
        <f t="shared" si="54"/>
        <v>ABS</v>
      </c>
      <c r="AG76" s="193" t="str">
        <f t="shared" si="55"/>
        <v>ABS</v>
      </c>
      <c r="AH76" s="154" t="str">
        <f t="shared" si="56"/>
        <v>ABS</v>
      </c>
      <c r="AI76" s="119"/>
      <c r="AJ76" s="117"/>
      <c r="AK76" s="138" t="str">
        <f t="shared" si="57"/>
        <v>ABS</v>
      </c>
      <c r="AL76" s="117"/>
      <c r="AM76" s="135" t="str">
        <f t="shared" si="58"/>
        <v>ABS</v>
      </c>
      <c r="AN76" s="193" t="str">
        <f t="shared" si="59"/>
        <v>ABS</v>
      </c>
      <c r="AO76" s="154" t="str">
        <f t="shared" si="60"/>
        <v>ABS</v>
      </c>
      <c r="AP76" s="120"/>
      <c r="AQ76" s="117"/>
      <c r="AR76" s="138" t="str">
        <f t="shared" si="61"/>
        <v>ABS</v>
      </c>
      <c r="AS76" s="117"/>
      <c r="AT76" s="135" t="str">
        <f t="shared" si="62"/>
        <v>ABS</v>
      </c>
      <c r="AU76" s="193" t="str">
        <f t="shared" si="63"/>
        <v>ABS</v>
      </c>
      <c r="AV76" s="154" t="str">
        <f t="shared" si="64"/>
        <v>ABS</v>
      </c>
      <c r="AW76" s="144"/>
      <c r="AX76" s="129"/>
      <c r="AY76" s="128"/>
      <c r="AZ76" s="135" t="str">
        <f t="shared" si="65"/>
        <v>ABS</v>
      </c>
      <c r="BA76" s="128"/>
      <c r="BB76" s="135" t="str">
        <f t="shared" si="66"/>
        <v>ABS</v>
      </c>
      <c r="BC76" s="193" t="str">
        <f t="shared" si="67"/>
        <v>ABS</v>
      </c>
      <c r="BD76" s="188" t="str">
        <f t="shared" si="68"/>
        <v>ABS</v>
      </c>
    </row>
    <row r="77" spans="2:56" ht="15.5">
      <c r="B77" s="191">
        <v>73</v>
      </c>
      <c r="C77" s="124"/>
      <c r="D77" s="147"/>
      <c r="E77" s="127"/>
      <c r="F77" s="127"/>
      <c r="G77" s="134" t="s">
        <v>23</v>
      </c>
      <c r="H77" s="117"/>
      <c r="I77" s="138" t="str">
        <f t="shared" si="41"/>
        <v>ABS</v>
      </c>
      <c r="J77" s="117"/>
      <c r="K77" s="135" t="str">
        <f t="shared" si="42"/>
        <v>ABS</v>
      </c>
      <c r="L77" s="192" t="str">
        <f t="shared" si="43"/>
        <v>ABS</v>
      </c>
      <c r="M77" s="154" t="str">
        <f t="shared" si="44"/>
        <v>ABS</v>
      </c>
      <c r="N77" s="134" t="s">
        <v>30</v>
      </c>
      <c r="O77" s="117"/>
      <c r="P77" s="138" t="str">
        <f t="shared" si="45"/>
        <v>ABS</v>
      </c>
      <c r="Q77" s="117"/>
      <c r="R77" s="135" t="str">
        <f t="shared" si="46"/>
        <v>ABS</v>
      </c>
      <c r="S77" s="193" t="str">
        <f t="shared" si="47"/>
        <v>ABS</v>
      </c>
      <c r="T77" s="154" t="str">
        <f t="shared" si="48"/>
        <v>ABS</v>
      </c>
      <c r="U77" s="137" t="s">
        <v>32</v>
      </c>
      <c r="V77" s="117"/>
      <c r="W77" s="138" t="str">
        <f t="shared" si="49"/>
        <v>ABS</v>
      </c>
      <c r="X77" s="117"/>
      <c r="Y77" s="135" t="str">
        <f t="shared" si="50"/>
        <v>ABS</v>
      </c>
      <c r="Z77" s="193" t="str">
        <f t="shared" si="51"/>
        <v>ABS</v>
      </c>
      <c r="AA77" s="154" t="str">
        <f t="shared" si="52"/>
        <v>ABS</v>
      </c>
      <c r="AB77" s="120"/>
      <c r="AC77" s="117"/>
      <c r="AD77" s="138" t="str">
        <f t="shared" si="53"/>
        <v>ABS</v>
      </c>
      <c r="AE77" s="117"/>
      <c r="AF77" s="135" t="str">
        <f t="shared" si="54"/>
        <v>ABS</v>
      </c>
      <c r="AG77" s="193" t="str">
        <f t="shared" si="55"/>
        <v>ABS</v>
      </c>
      <c r="AH77" s="154" t="str">
        <f t="shared" si="56"/>
        <v>ABS</v>
      </c>
      <c r="AI77" s="119"/>
      <c r="AJ77" s="117"/>
      <c r="AK77" s="138" t="str">
        <f t="shared" si="57"/>
        <v>ABS</v>
      </c>
      <c r="AL77" s="117"/>
      <c r="AM77" s="135" t="str">
        <f t="shared" si="58"/>
        <v>ABS</v>
      </c>
      <c r="AN77" s="193" t="str">
        <f t="shared" si="59"/>
        <v>ABS</v>
      </c>
      <c r="AO77" s="154" t="str">
        <f t="shared" si="60"/>
        <v>ABS</v>
      </c>
      <c r="AP77" s="120"/>
      <c r="AQ77" s="117"/>
      <c r="AR77" s="138" t="str">
        <f t="shared" si="61"/>
        <v>ABS</v>
      </c>
      <c r="AS77" s="117"/>
      <c r="AT77" s="135" t="str">
        <f t="shared" si="62"/>
        <v>ABS</v>
      </c>
      <c r="AU77" s="193" t="str">
        <f t="shared" si="63"/>
        <v>ABS</v>
      </c>
      <c r="AV77" s="154" t="str">
        <f t="shared" si="64"/>
        <v>ABS</v>
      </c>
      <c r="AW77" s="144"/>
      <c r="AX77" s="129"/>
      <c r="AY77" s="128"/>
      <c r="AZ77" s="135" t="str">
        <f t="shared" si="65"/>
        <v>ABS</v>
      </c>
      <c r="BA77" s="128"/>
      <c r="BB77" s="135" t="str">
        <f t="shared" si="66"/>
        <v>ABS</v>
      </c>
      <c r="BC77" s="193" t="str">
        <f t="shared" si="67"/>
        <v>ABS</v>
      </c>
      <c r="BD77" s="188" t="str">
        <f t="shared" si="68"/>
        <v>ABS</v>
      </c>
    </row>
    <row r="78" spans="2:56" ht="15.5">
      <c r="B78" s="191">
        <v>74</v>
      </c>
      <c r="C78" s="124"/>
      <c r="D78" s="147"/>
      <c r="E78" s="127"/>
      <c r="F78" s="127"/>
      <c r="G78" s="134" t="s">
        <v>23</v>
      </c>
      <c r="H78" s="117"/>
      <c r="I78" s="138" t="str">
        <f t="shared" si="41"/>
        <v>ABS</v>
      </c>
      <c r="J78" s="117"/>
      <c r="K78" s="135" t="str">
        <f t="shared" si="42"/>
        <v>ABS</v>
      </c>
      <c r="L78" s="192" t="str">
        <f t="shared" si="43"/>
        <v>ABS</v>
      </c>
      <c r="M78" s="154" t="str">
        <f t="shared" si="44"/>
        <v>ABS</v>
      </c>
      <c r="N78" s="134" t="s">
        <v>30</v>
      </c>
      <c r="O78" s="117"/>
      <c r="P78" s="138" t="str">
        <f t="shared" si="45"/>
        <v>ABS</v>
      </c>
      <c r="Q78" s="117"/>
      <c r="R78" s="135" t="str">
        <f t="shared" si="46"/>
        <v>ABS</v>
      </c>
      <c r="S78" s="193" t="str">
        <f t="shared" si="47"/>
        <v>ABS</v>
      </c>
      <c r="T78" s="154" t="str">
        <f t="shared" si="48"/>
        <v>ABS</v>
      </c>
      <c r="U78" s="137" t="s">
        <v>32</v>
      </c>
      <c r="V78" s="117"/>
      <c r="W78" s="138" t="str">
        <f t="shared" si="49"/>
        <v>ABS</v>
      </c>
      <c r="X78" s="117"/>
      <c r="Y78" s="135" t="str">
        <f t="shared" si="50"/>
        <v>ABS</v>
      </c>
      <c r="Z78" s="193" t="str">
        <f t="shared" si="51"/>
        <v>ABS</v>
      </c>
      <c r="AA78" s="154" t="str">
        <f t="shared" si="52"/>
        <v>ABS</v>
      </c>
      <c r="AB78" s="120"/>
      <c r="AC78" s="117"/>
      <c r="AD78" s="138" t="str">
        <f t="shared" si="53"/>
        <v>ABS</v>
      </c>
      <c r="AE78" s="117"/>
      <c r="AF78" s="135" t="str">
        <f t="shared" si="54"/>
        <v>ABS</v>
      </c>
      <c r="AG78" s="193" t="str">
        <f t="shared" si="55"/>
        <v>ABS</v>
      </c>
      <c r="AH78" s="154" t="str">
        <f t="shared" si="56"/>
        <v>ABS</v>
      </c>
      <c r="AI78" s="119"/>
      <c r="AJ78" s="117"/>
      <c r="AK78" s="138" t="str">
        <f t="shared" si="57"/>
        <v>ABS</v>
      </c>
      <c r="AL78" s="117"/>
      <c r="AM78" s="135" t="str">
        <f t="shared" si="58"/>
        <v>ABS</v>
      </c>
      <c r="AN78" s="193" t="str">
        <f t="shared" si="59"/>
        <v>ABS</v>
      </c>
      <c r="AO78" s="154" t="str">
        <f t="shared" si="60"/>
        <v>ABS</v>
      </c>
      <c r="AP78" s="120"/>
      <c r="AQ78" s="117"/>
      <c r="AR78" s="138" t="str">
        <f t="shared" si="61"/>
        <v>ABS</v>
      </c>
      <c r="AS78" s="117"/>
      <c r="AT78" s="135" t="str">
        <f t="shared" si="62"/>
        <v>ABS</v>
      </c>
      <c r="AU78" s="193" t="str">
        <f t="shared" si="63"/>
        <v>ABS</v>
      </c>
      <c r="AV78" s="154" t="str">
        <f t="shared" si="64"/>
        <v>ABS</v>
      </c>
      <c r="AW78" s="144"/>
      <c r="AX78" s="129"/>
      <c r="AY78" s="128"/>
      <c r="AZ78" s="135" t="str">
        <f t="shared" si="65"/>
        <v>ABS</v>
      </c>
      <c r="BA78" s="128"/>
      <c r="BB78" s="135" t="str">
        <f t="shared" si="66"/>
        <v>ABS</v>
      </c>
      <c r="BC78" s="193" t="str">
        <f t="shared" si="67"/>
        <v>ABS</v>
      </c>
      <c r="BD78" s="188" t="str">
        <f t="shared" si="68"/>
        <v>ABS</v>
      </c>
    </row>
    <row r="79" spans="2:56" ht="15.5">
      <c r="B79" s="191">
        <v>75</v>
      </c>
      <c r="C79" s="124"/>
      <c r="D79" s="147"/>
      <c r="E79" s="127"/>
      <c r="F79" s="127"/>
      <c r="G79" s="134" t="s">
        <v>23</v>
      </c>
      <c r="H79" s="117"/>
      <c r="I79" s="138" t="str">
        <f t="shared" si="41"/>
        <v>ABS</v>
      </c>
      <c r="J79" s="117"/>
      <c r="K79" s="135" t="str">
        <f t="shared" si="42"/>
        <v>ABS</v>
      </c>
      <c r="L79" s="192" t="str">
        <f t="shared" si="43"/>
        <v>ABS</v>
      </c>
      <c r="M79" s="154" t="str">
        <f t="shared" si="44"/>
        <v>ABS</v>
      </c>
      <c r="N79" s="134" t="s">
        <v>30</v>
      </c>
      <c r="O79" s="117"/>
      <c r="P79" s="138" t="str">
        <f t="shared" si="45"/>
        <v>ABS</v>
      </c>
      <c r="Q79" s="117"/>
      <c r="R79" s="135" t="str">
        <f t="shared" si="46"/>
        <v>ABS</v>
      </c>
      <c r="S79" s="193" t="str">
        <f t="shared" si="47"/>
        <v>ABS</v>
      </c>
      <c r="T79" s="154" t="str">
        <f t="shared" si="48"/>
        <v>ABS</v>
      </c>
      <c r="U79" s="137" t="s">
        <v>32</v>
      </c>
      <c r="V79" s="117"/>
      <c r="W79" s="138" t="str">
        <f t="shared" si="49"/>
        <v>ABS</v>
      </c>
      <c r="X79" s="117"/>
      <c r="Y79" s="135" t="str">
        <f t="shared" si="50"/>
        <v>ABS</v>
      </c>
      <c r="Z79" s="193" t="str">
        <f t="shared" si="51"/>
        <v>ABS</v>
      </c>
      <c r="AA79" s="154" t="str">
        <f t="shared" si="52"/>
        <v>ABS</v>
      </c>
      <c r="AB79" s="120"/>
      <c r="AC79" s="117"/>
      <c r="AD79" s="138" t="str">
        <f t="shared" si="53"/>
        <v>ABS</v>
      </c>
      <c r="AE79" s="117"/>
      <c r="AF79" s="135" t="str">
        <f t="shared" si="54"/>
        <v>ABS</v>
      </c>
      <c r="AG79" s="193" t="str">
        <f t="shared" si="55"/>
        <v>ABS</v>
      </c>
      <c r="AH79" s="154" t="str">
        <f t="shared" si="56"/>
        <v>ABS</v>
      </c>
      <c r="AI79" s="119"/>
      <c r="AJ79" s="117"/>
      <c r="AK79" s="138" t="str">
        <f t="shared" si="57"/>
        <v>ABS</v>
      </c>
      <c r="AL79" s="117"/>
      <c r="AM79" s="135" t="str">
        <f t="shared" si="58"/>
        <v>ABS</v>
      </c>
      <c r="AN79" s="193" t="str">
        <f t="shared" si="59"/>
        <v>ABS</v>
      </c>
      <c r="AO79" s="154" t="str">
        <f t="shared" si="60"/>
        <v>ABS</v>
      </c>
      <c r="AP79" s="120"/>
      <c r="AQ79" s="117"/>
      <c r="AR79" s="138" t="str">
        <f t="shared" si="61"/>
        <v>ABS</v>
      </c>
      <c r="AS79" s="117"/>
      <c r="AT79" s="135" t="str">
        <f t="shared" si="62"/>
        <v>ABS</v>
      </c>
      <c r="AU79" s="193" t="str">
        <f t="shared" si="63"/>
        <v>ABS</v>
      </c>
      <c r="AV79" s="154" t="str">
        <f t="shared" si="64"/>
        <v>ABS</v>
      </c>
      <c r="AW79" s="144"/>
      <c r="AX79" s="129"/>
      <c r="AY79" s="128"/>
      <c r="AZ79" s="135" t="str">
        <f t="shared" si="65"/>
        <v>ABS</v>
      </c>
      <c r="BA79" s="128"/>
      <c r="BB79" s="135" t="str">
        <f t="shared" si="66"/>
        <v>ABS</v>
      </c>
      <c r="BC79" s="193" t="str">
        <f t="shared" si="67"/>
        <v>ABS</v>
      </c>
      <c r="BD79" s="188" t="str">
        <f t="shared" si="68"/>
        <v>ABS</v>
      </c>
    </row>
    <row r="80" spans="2:56" ht="15.5">
      <c r="B80" s="191">
        <v>76</v>
      </c>
      <c r="C80" s="124"/>
      <c r="D80" s="147"/>
      <c r="E80" s="127"/>
      <c r="F80" s="127"/>
      <c r="G80" s="134" t="s">
        <v>23</v>
      </c>
      <c r="H80" s="117"/>
      <c r="I80" s="138" t="str">
        <f t="shared" si="41"/>
        <v>ABS</v>
      </c>
      <c r="J80" s="117"/>
      <c r="K80" s="135" t="str">
        <f t="shared" si="42"/>
        <v>ABS</v>
      </c>
      <c r="L80" s="192" t="str">
        <f t="shared" si="43"/>
        <v>ABS</v>
      </c>
      <c r="M80" s="154" t="str">
        <f t="shared" si="44"/>
        <v>ABS</v>
      </c>
      <c r="N80" s="134" t="s">
        <v>30</v>
      </c>
      <c r="O80" s="117"/>
      <c r="P80" s="138" t="str">
        <f t="shared" si="45"/>
        <v>ABS</v>
      </c>
      <c r="Q80" s="117"/>
      <c r="R80" s="135" t="str">
        <f t="shared" si="46"/>
        <v>ABS</v>
      </c>
      <c r="S80" s="193" t="str">
        <f t="shared" si="47"/>
        <v>ABS</v>
      </c>
      <c r="T80" s="154" t="str">
        <f t="shared" si="48"/>
        <v>ABS</v>
      </c>
      <c r="U80" s="137" t="s">
        <v>32</v>
      </c>
      <c r="V80" s="117"/>
      <c r="W80" s="138" t="str">
        <f t="shared" si="49"/>
        <v>ABS</v>
      </c>
      <c r="X80" s="117"/>
      <c r="Y80" s="135" t="str">
        <f t="shared" si="50"/>
        <v>ABS</v>
      </c>
      <c r="Z80" s="193" t="str">
        <f t="shared" si="51"/>
        <v>ABS</v>
      </c>
      <c r="AA80" s="154" t="str">
        <f t="shared" si="52"/>
        <v>ABS</v>
      </c>
      <c r="AB80" s="120"/>
      <c r="AC80" s="117"/>
      <c r="AD80" s="138" t="str">
        <f t="shared" si="53"/>
        <v>ABS</v>
      </c>
      <c r="AE80" s="117"/>
      <c r="AF80" s="135" t="str">
        <f t="shared" si="54"/>
        <v>ABS</v>
      </c>
      <c r="AG80" s="193" t="str">
        <f t="shared" si="55"/>
        <v>ABS</v>
      </c>
      <c r="AH80" s="154" t="str">
        <f t="shared" si="56"/>
        <v>ABS</v>
      </c>
      <c r="AI80" s="119"/>
      <c r="AJ80" s="117"/>
      <c r="AK80" s="138" t="str">
        <f t="shared" si="57"/>
        <v>ABS</v>
      </c>
      <c r="AL80" s="117"/>
      <c r="AM80" s="135" t="str">
        <f t="shared" si="58"/>
        <v>ABS</v>
      </c>
      <c r="AN80" s="193" t="str">
        <f t="shared" si="59"/>
        <v>ABS</v>
      </c>
      <c r="AO80" s="154" t="str">
        <f t="shared" si="60"/>
        <v>ABS</v>
      </c>
      <c r="AP80" s="120"/>
      <c r="AQ80" s="117"/>
      <c r="AR80" s="138" t="str">
        <f t="shared" si="61"/>
        <v>ABS</v>
      </c>
      <c r="AS80" s="117"/>
      <c r="AT80" s="135" t="str">
        <f t="shared" si="62"/>
        <v>ABS</v>
      </c>
      <c r="AU80" s="193" t="str">
        <f t="shared" si="63"/>
        <v>ABS</v>
      </c>
      <c r="AV80" s="154" t="str">
        <f t="shared" si="64"/>
        <v>ABS</v>
      </c>
      <c r="AW80" s="144"/>
      <c r="AX80" s="129"/>
      <c r="AY80" s="128"/>
      <c r="AZ80" s="135" t="str">
        <f t="shared" si="65"/>
        <v>ABS</v>
      </c>
      <c r="BA80" s="128"/>
      <c r="BB80" s="135" t="str">
        <f t="shared" si="66"/>
        <v>ABS</v>
      </c>
      <c r="BC80" s="193" t="str">
        <f t="shared" si="67"/>
        <v>ABS</v>
      </c>
      <c r="BD80" s="188" t="str">
        <f t="shared" si="68"/>
        <v>ABS</v>
      </c>
    </row>
    <row r="81" spans="2:56" ht="15.5">
      <c r="B81" s="191">
        <v>77</v>
      </c>
      <c r="C81" s="124"/>
      <c r="D81" s="147"/>
      <c r="E81" s="127"/>
      <c r="F81" s="127"/>
      <c r="G81" s="134" t="s">
        <v>23</v>
      </c>
      <c r="H81" s="117"/>
      <c r="I81" s="138" t="str">
        <f t="shared" si="41"/>
        <v>ABS</v>
      </c>
      <c r="J81" s="117"/>
      <c r="K81" s="135" t="str">
        <f t="shared" si="42"/>
        <v>ABS</v>
      </c>
      <c r="L81" s="192" t="str">
        <f t="shared" si="43"/>
        <v>ABS</v>
      </c>
      <c r="M81" s="154" t="str">
        <f t="shared" si="44"/>
        <v>ABS</v>
      </c>
      <c r="N81" s="134" t="s">
        <v>30</v>
      </c>
      <c r="O81" s="117"/>
      <c r="P81" s="138" t="str">
        <f t="shared" si="45"/>
        <v>ABS</v>
      </c>
      <c r="Q81" s="117"/>
      <c r="R81" s="135" t="str">
        <f t="shared" si="46"/>
        <v>ABS</v>
      </c>
      <c r="S81" s="193" t="str">
        <f t="shared" si="47"/>
        <v>ABS</v>
      </c>
      <c r="T81" s="154" t="str">
        <f t="shared" si="48"/>
        <v>ABS</v>
      </c>
      <c r="U81" s="137" t="s">
        <v>32</v>
      </c>
      <c r="V81" s="117"/>
      <c r="W81" s="138" t="str">
        <f t="shared" si="49"/>
        <v>ABS</v>
      </c>
      <c r="X81" s="117"/>
      <c r="Y81" s="135" t="str">
        <f t="shared" si="50"/>
        <v>ABS</v>
      </c>
      <c r="Z81" s="193" t="str">
        <f t="shared" si="51"/>
        <v>ABS</v>
      </c>
      <c r="AA81" s="154" t="str">
        <f t="shared" si="52"/>
        <v>ABS</v>
      </c>
      <c r="AB81" s="120"/>
      <c r="AC81" s="117"/>
      <c r="AD81" s="138" t="str">
        <f t="shared" si="53"/>
        <v>ABS</v>
      </c>
      <c r="AE81" s="117"/>
      <c r="AF81" s="135" t="str">
        <f t="shared" si="54"/>
        <v>ABS</v>
      </c>
      <c r="AG81" s="193" t="str">
        <f t="shared" si="55"/>
        <v>ABS</v>
      </c>
      <c r="AH81" s="154" t="str">
        <f t="shared" si="56"/>
        <v>ABS</v>
      </c>
      <c r="AI81" s="119"/>
      <c r="AJ81" s="117"/>
      <c r="AK81" s="138" t="str">
        <f t="shared" si="57"/>
        <v>ABS</v>
      </c>
      <c r="AL81" s="117"/>
      <c r="AM81" s="135" t="str">
        <f t="shared" si="58"/>
        <v>ABS</v>
      </c>
      <c r="AN81" s="193" t="str">
        <f t="shared" si="59"/>
        <v>ABS</v>
      </c>
      <c r="AO81" s="154" t="str">
        <f t="shared" si="60"/>
        <v>ABS</v>
      </c>
      <c r="AP81" s="120"/>
      <c r="AQ81" s="117"/>
      <c r="AR81" s="138" t="str">
        <f t="shared" si="61"/>
        <v>ABS</v>
      </c>
      <c r="AS81" s="117"/>
      <c r="AT81" s="135" t="str">
        <f t="shared" si="62"/>
        <v>ABS</v>
      </c>
      <c r="AU81" s="193" t="str">
        <f t="shared" si="63"/>
        <v>ABS</v>
      </c>
      <c r="AV81" s="154" t="str">
        <f t="shared" si="64"/>
        <v>ABS</v>
      </c>
      <c r="AW81" s="144"/>
      <c r="AX81" s="129"/>
      <c r="AY81" s="128"/>
      <c r="AZ81" s="135" t="str">
        <f t="shared" si="65"/>
        <v>ABS</v>
      </c>
      <c r="BA81" s="128"/>
      <c r="BB81" s="135" t="str">
        <f t="shared" si="66"/>
        <v>ABS</v>
      </c>
      <c r="BC81" s="193" t="str">
        <f t="shared" si="67"/>
        <v>ABS</v>
      </c>
      <c r="BD81" s="188" t="str">
        <f t="shared" si="68"/>
        <v>ABS</v>
      </c>
    </row>
    <row r="82" spans="2:56" ht="15.5">
      <c r="B82" s="191">
        <v>78</v>
      </c>
      <c r="C82" s="124"/>
      <c r="D82" s="147"/>
      <c r="E82" s="127"/>
      <c r="F82" s="127"/>
      <c r="G82" s="134" t="s">
        <v>23</v>
      </c>
      <c r="H82" s="117"/>
      <c r="I82" s="138" t="str">
        <f t="shared" si="41"/>
        <v>ABS</v>
      </c>
      <c r="J82" s="117"/>
      <c r="K82" s="135" t="str">
        <f t="shared" si="42"/>
        <v>ABS</v>
      </c>
      <c r="L82" s="192" t="str">
        <f t="shared" si="43"/>
        <v>ABS</v>
      </c>
      <c r="M82" s="154" t="str">
        <f t="shared" si="44"/>
        <v>ABS</v>
      </c>
      <c r="N82" s="134" t="s">
        <v>30</v>
      </c>
      <c r="O82" s="117"/>
      <c r="P82" s="138" t="str">
        <f t="shared" si="45"/>
        <v>ABS</v>
      </c>
      <c r="Q82" s="117"/>
      <c r="R82" s="135" t="str">
        <f t="shared" si="46"/>
        <v>ABS</v>
      </c>
      <c r="S82" s="193" t="str">
        <f t="shared" si="47"/>
        <v>ABS</v>
      </c>
      <c r="T82" s="154" t="str">
        <f t="shared" si="48"/>
        <v>ABS</v>
      </c>
      <c r="U82" s="137" t="s">
        <v>32</v>
      </c>
      <c r="V82" s="117"/>
      <c r="W82" s="138" t="str">
        <f t="shared" si="49"/>
        <v>ABS</v>
      </c>
      <c r="X82" s="117"/>
      <c r="Y82" s="135" t="str">
        <f t="shared" si="50"/>
        <v>ABS</v>
      </c>
      <c r="Z82" s="193" t="str">
        <f t="shared" si="51"/>
        <v>ABS</v>
      </c>
      <c r="AA82" s="154" t="str">
        <f t="shared" si="52"/>
        <v>ABS</v>
      </c>
      <c r="AB82" s="120"/>
      <c r="AC82" s="117"/>
      <c r="AD82" s="138" t="str">
        <f t="shared" si="53"/>
        <v>ABS</v>
      </c>
      <c r="AE82" s="117"/>
      <c r="AF82" s="135" t="str">
        <f t="shared" si="54"/>
        <v>ABS</v>
      </c>
      <c r="AG82" s="193" t="str">
        <f t="shared" si="55"/>
        <v>ABS</v>
      </c>
      <c r="AH82" s="154" t="str">
        <f t="shared" si="56"/>
        <v>ABS</v>
      </c>
      <c r="AI82" s="119"/>
      <c r="AJ82" s="117"/>
      <c r="AK82" s="138" t="str">
        <f t="shared" si="57"/>
        <v>ABS</v>
      </c>
      <c r="AL82" s="117"/>
      <c r="AM82" s="135" t="str">
        <f t="shared" si="58"/>
        <v>ABS</v>
      </c>
      <c r="AN82" s="193" t="str">
        <f t="shared" si="59"/>
        <v>ABS</v>
      </c>
      <c r="AO82" s="154" t="str">
        <f t="shared" si="60"/>
        <v>ABS</v>
      </c>
      <c r="AP82" s="120"/>
      <c r="AQ82" s="117"/>
      <c r="AR82" s="138" t="str">
        <f t="shared" si="61"/>
        <v>ABS</v>
      </c>
      <c r="AS82" s="117"/>
      <c r="AT82" s="135" t="str">
        <f t="shared" si="62"/>
        <v>ABS</v>
      </c>
      <c r="AU82" s="193" t="str">
        <f t="shared" si="63"/>
        <v>ABS</v>
      </c>
      <c r="AV82" s="154" t="str">
        <f t="shared" si="64"/>
        <v>ABS</v>
      </c>
      <c r="AW82" s="144"/>
      <c r="AX82" s="129"/>
      <c r="AY82" s="128"/>
      <c r="AZ82" s="135" t="str">
        <f t="shared" si="65"/>
        <v>ABS</v>
      </c>
      <c r="BA82" s="128"/>
      <c r="BB82" s="135" t="str">
        <f t="shared" si="66"/>
        <v>ABS</v>
      </c>
      <c r="BC82" s="193" t="str">
        <f t="shared" si="67"/>
        <v>ABS</v>
      </c>
      <c r="BD82" s="188" t="str">
        <f t="shared" si="68"/>
        <v>ABS</v>
      </c>
    </row>
    <row r="83" spans="2:56" ht="15.5">
      <c r="B83" s="191">
        <v>79</v>
      </c>
      <c r="C83" s="124"/>
      <c r="D83" s="147"/>
      <c r="E83" s="127"/>
      <c r="F83" s="127"/>
      <c r="G83" s="134" t="s">
        <v>23</v>
      </c>
      <c r="H83" s="117"/>
      <c r="I83" s="138" t="str">
        <f t="shared" si="41"/>
        <v>ABS</v>
      </c>
      <c r="J83" s="117"/>
      <c r="K83" s="135" t="str">
        <f t="shared" si="42"/>
        <v>ABS</v>
      </c>
      <c r="L83" s="192" t="str">
        <f t="shared" si="43"/>
        <v>ABS</v>
      </c>
      <c r="M83" s="154" t="str">
        <f t="shared" si="44"/>
        <v>ABS</v>
      </c>
      <c r="N83" s="134" t="s">
        <v>30</v>
      </c>
      <c r="O83" s="117"/>
      <c r="P83" s="138" t="str">
        <f t="shared" si="45"/>
        <v>ABS</v>
      </c>
      <c r="Q83" s="117"/>
      <c r="R83" s="135" t="str">
        <f t="shared" si="46"/>
        <v>ABS</v>
      </c>
      <c r="S83" s="193" t="str">
        <f t="shared" si="47"/>
        <v>ABS</v>
      </c>
      <c r="T83" s="154" t="str">
        <f t="shared" si="48"/>
        <v>ABS</v>
      </c>
      <c r="U83" s="137" t="s">
        <v>32</v>
      </c>
      <c r="V83" s="117"/>
      <c r="W83" s="138" t="str">
        <f t="shared" si="49"/>
        <v>ABS</v>
      </c>
      <c r="X83" s="117"/>
      <c r="Y83" s="135" t="str">
        <f t="shared" si="50"/>
        <v>ABS</v>
      </c>
      <c r="Z83" s="193" t="str">
        <f t="shared" si="51"/>
        <v>ABS</v>
      </c>
      <c r="AA83" s="154" t="str">
        <f t="shared" si="52"/>
        <v>ABS</v>
      </c>
      <c r="AB83" s="120"/>
      <c r="AC83" s="117"/>
      <c r="AD83" s="138" t="str">
        <f t="shared" si="53"/>
        <v>ABS</v>
      </c>
      <c r="AE83" s="117"/>
      <c r="AF83" s="135" t="str">
        <f t="shared" si="54"/>
        <v>ABS</v>
      </c>
      <c r="AG83" s="193" t="str">
        <f t="shared" si="55"/>
        <v>ABS</v>
      </c>
      <c r="AH83" s="154" t="str">
        <f t="shared" si="56"/>
        <v>ABS</v>
      </c>
      <c r="AI83" s="119"/>
      <c r="AJ83" s="117"/>
      <c r="AK83" s="138" t="str">
        <f t="shared" si="57"/>
        <v>ABS</v>
      </c>
      <c r="AL83" s="117"/>
      <c r="AM83" s="135" t="str">
        <f t="shared" si="58"/>
        <v>ABS</v>
      </c>
      <c r="AN83" s="193" t="str">
        <f t="shared" si="59"/>
        <v>ABS</v>
      </c>
      <c r="AO83" s="154" t="str">
        <f t="shared" si="60"/>
        <v>ABS</v>
      </c>
      <c r="AP83" s="120"/>
      <c r="AQ83" s="117"/>
      <c r="AR83" s="138" t="str">
        <f t="shared" si="61"/>
        <v>ABS</v>
      </c>
      <c r="AS83" s="117"/>
      <c r="AT83" s="135" t="str">
        <f t="shared" si="62"/>
        <v>ABS</v>
      </c>
      <c r="AU83" s="193" t="str">
        <f t="shared" si="63"/>
        <v>ABS</v>
      </c>
      <c r="AV83" s="154" t="str">
        <f t="shared" si="64"/>
        <v>ABS</v>
      </c>
      <c r="AW83" s="144"/>
      <c r="AX83" s="129"/>
      <c r="AY83" s="128"/>
      <c r="AZ83" s="135" t="str">
        <f t="shared" si="65"/>
        <v>ABS</v>
      </c>
      <c r="BA83" s="128"/>
      <c r="BB83" s="135" t="str">
        <f t="shared" si="66"/>
        <v>ABS</v>
      </c>
      <c r="BC83" s="193" t="str">
        <f t="shared" si="67"/>
        <v>ABS</v>
      </c>
      <c r="BD83" s="188" t="str">
        <f t="shared" si="68"/>
        <v>ABS</v>
      </c>
    </row>
    <row r="84" spans="2:56" ht="15.5">
      <c r="B84" s="191">
        <v>80</v>
      </c>
      <c r="C84" s="124"/>
      <c r="D84" s="147"/>
      <c r="E84" s="127"/>
      <c r="F84" s="127"/>
      <c r="G84" s="134" t="s">
        <v>23</v>
      </c>
      <c r="H84" s="117"/>
      <c r="I84" s="138" t="str">
        <f t="shared" si="41"/>
        <v>ABS</v>
      </c>
      <c r="J84" s="117"/>
      <c r="K84" s="135" t="str">
        <f t="shared" si="42"/>
        <v>ABS</v>
      </c>
      <c r="L84" s="192" t="str">
        <f t="shared" si="43"/>
        <v>ABS</v>
      </c>
      <c r="M84" s="154" t="str">
        <f t="shared" si="44"/>
        <v>ABS</v>
      </c>
      <c r="N84" s="134" t="s">
        <v>30</v>
      </c>
      <c r="O84" s="117"/>
      <c r="P84" s="138" t="str">
        <f t="shared" si="45"/>
        <v>ABS</v>
      </c>
      <c r="Q84" s="117"/>
      <c r="R84" s="135" t="str">
        <f t="shared" si="46"/>
        <v>ABS</v>
      </c>
      <c r="S84" s="193" t="str">
        <f t="shared" si="47"/>
        <v>ABS</v>
      </c>
      <c r="T84" s="154" t="str">
        <f t="shared" si="48"/>
        <v>ABS</v>
      </c>
      <c r="U84" s="137" t="s">
        <v>32</v>
      </c>
      <c r="V84" s="117"/>
      <c r="W84" s="138" t="str">
        <f t="shared" si="49"/>
        <v>ABS</v>
      </c>
      <c r="X84" s="117"/>
      <c r="Y84" s="135" t="str">
        <f t="shared" si="50"/>
        <v>ABS</v>
      </c>
      <c r="Z84" s="193" t="str">
        <f t="shared" si="51"/>
        <v>ABS</v>
      </c>
      <c r="AA84" s="154" t="str">
        <f t="shared" si="52"/>
        <v>ABS</v>
      </c>
      <c r="AB84" s="120"/>
      <c r="AC84" s="117"/>
      <c r="AD84" s="138" t="str">
        <f t="shared" si="53"/>
        <v>ABS</v>
      </c>
      <c r="AE84" s="117"/>
      <c r="AF84" s="135" t="str">
        <f t="shared" si="54"/>
        <v>ABS</v>
      </c>
      <c r="AG84" s="193" t="str">
        <f t="shared" si="55"/>
        <v>ABS</v>
      </c>
      <c r="AH84" s="154" t="str">
        <f t="shared" si="56"/>
        <v>ABS</v>
      </c>
      <c r="AI84" s="119"/>
      <c r="AJ84" s="117"/>
      <c r="AK84" s="138" t="str">
        <f t="shared" si="57"/>
        <v>ABS</v>
      </c>
      <c r="AL84" s="117"/>
      <c r="AM84" s="135" t="str">
        <f t="shared" si="58"/>
        <v>ABS</v>
      </c>
      <c r="AN84" s="193" t="str">
        <f t="shared" si="59"/>
        <v>ABS</v>
      </c>
      <c r="AO84" s="154" t="str">
        <f t="shared" si="60"/>
        <v>ABS</v>
      </c>
      <c r="AP84" s="120"/>
      <c r="AQ84" s="117"/>
      <c r="AR84" s="138" t="str">
        <f t="shared" si="61"/>
        <v>ABS</v>
      </c>
      <c r="AS84" s="117"/>
      <c r="AT84" s="135" t="str">
        <f t="shared" si="62"/>
        <v>ABS</v>
      </c>
      <c r="AU84" s="193" t="str">
        <f t="shared" si="63"/>
        <v>ABS</v>
      </c>
      <c r="AV84" s="154" t="str">
        <f t="shared" si="64"/>
        <v>ABS</v>
      </c>
      <c r="AW84" s="144"/>
      <c r="AX84" s="129"/>
      <c r="AY84" s="128"/>
      <c r="AZ84" s="135" t="str">
        <f t="shared" si="65"/>
        <v>ABS</v>
      </c>
      <c r="BA84" s="128"/>
      <c r="BB84" s="135" t="str">
        <f t="shared" si="66"/>
        <v>ABS</v>
      </c>
      <c r="BC84" s="193" t="str">
        <f t="shared" si="67"/>
        <v>ABS</v>
      </c>
      <c r="BD84" s="188" t="str">
        <f t="shared" si="68"/>
        <v>ABS</v>
      </c>
    </row>
    <row r="85" spans="2:56" ht="15.5">
      <c r="B85" s="191">
        <v>81</v>
      </c>
      <c r="C85" s="124"/>
      <c r="D85" s="147"/>
      <c r="E85" s="127"/>
      <c r="F85" s="127"/>
      <c r="G85" s="134" t="s">
        <v>23</v>
      </c>
      <c r="H85" s="117"/>
      <c r="I85" s="138" t="str">
        <f t="shared" si="41"/>
        <v>ABS</v>
      </c>
      <c r="J85" s="117"/>
      <c r="K85" s="135" t="str">
        <f t="shared" si="42"/>
        <v>ABS</v>
      </c>
      <c r="L85" s="192" t="str">
        <f t="shared" si="43"/>
        <v>ABS</v>
      </c>
      <c r="M85" s="154" t="str">
        <f t="shared" si="44"/>
        <v>ABS</v>
      </c>
      <c r="N85" s="134" t="s">
        <v>30</v>
      </c>
      <c r="O85" s="117"/>
      <c r="P85" s="138" t="str">
        <f t="shared" si="45"/>
        <v>ABS</v>
      </c>
      <c r="Q85" s="117"/>
      <c r="R85" s="135" t="str">
        <f t="shared" si="46"/>
        <v>ABS</v>
      </c>
      <c r="S85" s="193" t="str">
        <f t="shared" si="47"/>
        <v>ABS</v>
      </c>
      <c r="T85" s="154" t="str">
        <f t="shared" si="48"/>
        <v>ABS</v>
      </c>
      <c r="U85" s="137" t="s">
        <v>32</v>
      </c>
      <c r="V85" s="117"/>
      <c r="W85" s="138" t="str">
        <f t="shared" si="49"/>
        <v>ABS</v>
      </c>
      <c r="X85" s="117"/>
      <c r="Y85" s="135" t="str">
        <f t="shared" si="50"/>
        <v>ABS</v>
      </c>
      <c r="Z85" s="193" t="str">
        <f t="shared" si="51"/>
        <v>ABS</v>
      </c>
      <c r="AA85" s="154" t="str">
        <f t="shared" si="52"/>
        <v>ABS</v>
      </c>
      <c r="AB85" s="120"/>
      <c r="AC85" s="117"/>
      <c r="AD85" s="138" t="str">
        <f t="shared" si="53"/>
        <v>ABS</v>
      </c>
      <c r="AE85" s="117"/>
      <c r="AF85" s="135" t="str">
        <f t="shared" si="54"/>
        <v>ABS</v>
      </c>
      <c r="AG85" s="193" t="str">
        <f t="shared" si="55"/>
        <v>ABS</v>
      </c>
      <c r="AH85" s="154" t="str">
        <f t="shared" si="56"/>
        <v>ABS</v>
      </c>
      <c r="AI85" s="119"/>
      <c r="AJ85" s="117"/>
      <c r="AK85" s="138" t="str">
        <f t="shared" si="57"/>
        <v>ABS</v>
      </c>
      <c r="AL85" s="117"/>
      <c r="AM85" s="135" t="str">
        <f t="shared" si="58"/>
        <v>ABS</v>
      </c>
      <c r="AN85" s="193" t="str">
        <f t="shared" si="59"/>
        <v>ABS</v>
      </c>
      <c r="AO85" s="154" t="str">
        <f t="shared" si="60"/>
        <v>ABS</v>
      </c>
      <c r="AP85" s="120"/>
      <c r="AQ85" s="117"/>
      <c r="AR85" s="138" t="str">
        <f t="shared" si="61"/>
        <v>ABS</v>
      </c>
      <c r="AS85" s="117"/>
      <c r="AT85" s="135" t="str">
        <f t="shared" si="62"/>
        <v>ABS</v>
      </c>
      <c r="AU85" s="193" t="str">
        <f t="shared" si="63"/>
        <v>ABS</v>
      </c>
      <c r="AV85" s="154" t="str">
        <f t="shared" si="64"/>
        <v>ABS</v>
      </c>
      <c r="AW85" s="144"/>
      <c r="AX85" s="129"/>
      <c r="AY85" s="128"/>
      <c r="AZ85" s="135" t="str">
        <f t="shared" si="65"/>
        <v>ABS</v>
      </c>
      <c r="BA85" s="128"/>
      <c r="BB85" s="135" t="str">
        <f t="shared" si="66"/>
        <v>ABS</v>
      </c>
      <c r="BC85" s="193" t="str">
        <f t="shared" si="67"/>
        <v>ABS</v>
      </c>
      <c r="BD85" s="188" t="str">
        <f t="shared" si="68"/>
        <v>ABS</v>
      </c>
    </row>
    <row r="86" spans="2:56" ht="15.5">
      <c r="B86" s="191">
        <v>82</v>
      </c>
      <c r="C86" s="124"/>
      <c r="D86" s="147"/>
      <c r="E86" s="127"/>
      <c r="F86" s="127"/>
      <c r="G86" s="134" t="s">
        <v>23</v>
      </c>
      <c r="H86" s="117"/>
      <c r="I86" s="138" t="str">
        <f t="shared" si="41"/>
        <v>ABS</v>
      </c>
      <c r="J86" s="117"/>
      <c r="K86" s="135" t="str">
        <f t="shared" si="42"/>
        <v>ABS</v>
      </c>
      <c r="L86" s="192" t="str">
        <f t="shared" si="43"/>
        <v>ABS</v>
      </c>
      <c r="M86" s="154" t="str">
        <f t="shared" si="44"/>
        <v>ABS</v>
      </c>
      <c r="N86" s="134" t="s">
        <v>30</v>
      </c>
      <c r="O86" s="117"/>
      <c r="P86" s="138" t="str">
        <f t="shared" si="45"/>
        <v>ABS</v>
      </c>
      <c r="Q86" s="117"/>
      <c r="R86" s="135" t="str">
        <f t="shared" si="46"/>
        <v>ABS</v>
      </c>
      <c r="S86" s="193" t="str">
        <f t="shared" si="47"/>
        <v>ABS</v>
      </c>
      <c r="T86" s="154" t="str">
        <f t="shared" si="48"/>
        <v>ABS</v>
      </c>
      <c r="U86" s="137" t="s">
        <v>32</v>
      </c>
      <c r="V86" s="117"/>
      <c r="W86" s="138" t="str">
        <f t="shared" si="49"/>
        <v>ABS</v>
      </c>
      <c r="X86" s="117"/>
      <c r="Y86" s="135" t="str">
        <f t="shared" si="50"/>
        <v>ABS</v>
      </c>
      <c r="Z86" s="193" t="str">
        <f t="shared" si="51"/>
        <v>ABS</v>
      </c>
      <c r="AA86" s="154" t="str">
        <f t="shared" si="52"/>
        <v>ABS</v>
      </c>
      <c r="AB86" s="120"/>
      <c r="AC86" s="117"/>
      <c r="AD86" s="138" t="str">
        <f t="shared" si="53"/>
        <v>ABS</v>
      </c>
      <c r="AE86" s="117"/>
      <c r="AF86" s="135" t="str">
        <f t="shared" si="54"/>
        <v>ABS</v>
      </c>
      <c r="AG86" s="193" t="str">
        <f t="shared" si="55"/>
        <v>ABS</v>
      </c>
      <c r="AH86" s="154" t="str">
        <f t="shared" si="56"/>
        <v>ABS</v>
      </c>
      <c r="AI86" s="119"/>
      <c r="AJ86" s="117"/>
      <c r="AK86" s="138" t="str">
        <f t="shared" si="57"/>
        <v>ABS</v>
      </c>
      <c r="AL86" s="117"/>
      <c r="AM86" s="135" t="str">
        <f t="shared" si="58"/>
        <v>ABS</v>
      </c>
      <c r="AN86" s="193" t="str">
        <f t="shared" si="59"/>
        <v>ABS</v>
      </c>
      <c r="AO86" s="154" t="str">
        <f t="shared" si="60"/>
        <v>ABS</v>
      </c>
      <c r="AP86" s="120"/>
      <c r="AQ86" s="117"/>
      <c r="AR86" s="138" t="str">
        <f t="shared" si="61"/>
        <v>ABS</v>
      </c>
      <c r="AS86" s="117"/>
      <c r="AT86" s="135" t="str">
        <f t="shared" si="62"/>
        <v>ABS</v>
      </c>
      <c r="AU86" s="193" t="str">
        <f t="shared" si="63"/>
        <v>ABS</v>
      </c>
      <c r="AV86" s="154" t="str">
        <f t="shared" si="64"/>
        <v>ABS</v>
      </c>
      <c r="AW86" s="144"/>
      <c r="AX86" s="129"/>
      <c r="AY86" s="128"/>
      <c r="AZ86" s="135" t="str">
        <f t="shared" si="65"/>
        <v>ABS</v>
      </c>
      <c r="BA86" s="128"/>
      <c r="BB86" s="135" t="str">
        <f t="shared" si="66"/>
        <v>ABS</v>
      </c>
      <c r="BC86" s="193" t="str">
        <f t="shared" si="67"/>
        <v>ABS</v>
      </c>
      <c r="BD86" s="188" t="str">
        <f t="shared" si="68"/>
        <v>ABS</v>
      </c>
    </row>
    <row r="87" spans="2:56" ht="15.5">
      <c r="B87" s="191">
        <v>83</v>
      </c>
      <c r="C87" s="124"/>
      <c r="D87" s="147"/>
      <c r="E87" s="127"/>
      <c r="F87" s="127"/>
      <c r="G87" s="134" t="s">
        <v>23</v>
      </c>
      <c r="H87" s="117"/>
      <c r="I87" s="138" t="str">
        <f t="shared" si="41"/>
        <v>ABS</v>
      </c>
      <c r="J87" s="117"/>
      <c r="K87" s="135" t="str">
        <f t="shared" si="42"/>
        <v>ABS</v>
      </c>
      <c r="L87" s="192" t="str">
        <f t="shared" si="43"/>
        <v>ABS</v>
      </c>
      <c r="M87" s="154" t="str">
        <f t="shared" si="44"/>
        <v>ABS</v>
      </c>
      <c r="N87" s="134" t="s">
        <v>30</v>
      </c>
      <c r="O87" s="117"/>
      <c r="P87" s="138" t="str">
        <f t="shared" si="45"/>
        <v>ABS</v>
      </c>
      <c r="Q87" s="117"/>
      <c r="R87" s="135" t="str">
        <f t="shared" si="46"/>
        <v>ABS</v>
      </c>
      <c r="S87" s="193" t="str">
        <f t="shared" si="47"/>
        <v>ABS</v>
      </c>
      <c r="T87" s="154" t="str">
        <f t="shared" si="48"/>
        <v>ABS</v>
      </c>
      <c r="U87" s="137" t="s">
        <v>32</v>
      </c>
      <c r="V87" s="117"/>
      <c r="W87" s="138" t="str">
        <f t="shared" si="49"/>
        <v>ABS</v>
      </c>
      <c r="X87" s="117"/>
      <c r="Y87" s="135" t="str">
        <f t="shared" si="50"/>
        <v>ABS</v>
      </c>
      <c r="Z87" s="193" t="str">
        <f t="shared" si="51"/>
        <v>ABS</v>
      </c>
      <c r="AA87" s="154" t="str">
        <f t="shared" si="52"/>
        <v>ABS</v>
      </c>
      <c r="AB87" s="120"/>
      <c r="AC87" s="117"/>
      <c r="AD87" s="138" t="str">
        <f t="shared" si="53"/>
        <v>ABS</v>
      </c>
      <c r="AE87" s="117"/>
      <c r="AF87" s="135" t="str">
        <f t="shared" si="54"/>
        <v>ABS</v>
      </c>
      <c r="AG87" s="193" t="str">
        <f t="shared" si="55"/>
        <v>ABS</v>
      </c>
      <c r="AH87" s="154" t="str">
        <f t="shared" si="56"/>
        <v>ABS</v>
      </c>
      <c r="AI87" s="119"/>
      <c r="AJ87" s="117"/>
      <c r="AK87" s="138" t="str">
        <f t="shared" si="57"/>
        <v>ABS</v>
      </c>
      <c r="AL87" s="117"/>
      <c r="AM87" s="135" t="str">
        <f t="shared" si="58"/>
        <v>ABS</v>
      </c>
      <c r="AN87" s="193" t="str">
        <f t="shared" si="59"/>
        <v>ABS</v>
      </c>
      <c r="AO87" s="154" t="str">
        <f t="shared" si="60"/>
        <v>ABS</v>
      </c>
      <c r="AP87" s="120"/>
      <c r="AQ87" s="117"/>
      <c r="AR87" s="138" t="str">
        <f t="shared" si="61"/>
        <v>ABS</v>
      </c>
      <c r="AS87" s="117"/>
      <c r="AT87" s="135" t="str">
        <f t="shared" si="62"/>
        <v>ABS</v>
      </c>
      <c r="AU87" s="193" t="str">
        <f t="shared" si="63"/>
        <v>ABS</v>
      </c>
      <c r="AV87" s="154" t="str">
        <f t="shared" si="64"/>
        <v>ABS</v>
      </c>
      <c r="AW87" s="144"/>
      <c r="AX87" s="129"/>
      <c r="AY87" s="128"/>
      <c r="AZ87" s="135" t="str">
        <f t="shared" si="65"/>
        <v>ABS</v>
      </c>
      <c r="BA87" s="128"/>
      <c r="BB87" s="135" t="str">
        <f t="shared" si="66"/>
        <v>ABS</v>
      </c>
      <c r="BC87" s="193" t="str">
        <f t="shared" si="67"/>
        <v>ABS</v>
      </c>
      <c r="BD87" s="188" t="str">
        <f t="shared" si="68"/>
        <v>ABS</v>
      </c>
    </row>
    <row r="88" spans="2:56" ht="15.5">
      <c r="B88" s="191">
        <v>84</v>
      </c>
      <c r="C88" s="124"/>
      <c r="D88" s="147"/>
      <c r="E88" s="127"/>
      <c r="F88" s="127"/>
      <c r="G88" s="134" t="s">
        <v>23</v>
      </c>
      <c r="H88" s="117"/>
      <c r="I88" s="138" t="str">
        <f t="shared" si="41"/>
        <v>ABS</v>
      </c>
      <c r="J88" s="117"/>
      <c r="K88" s="135" t="str">
        <f t="shared" si="42"/>
        <v>ABS</v>
      </c>
      <c r="L88" s="192" t="str">
        <f t="shared" si="43"/>
        <v>ABS</v>
      </c>
      <c r="M88" s="154" t="str">
        <f t="shared" si="44"/>
        <v>ABS</v>
      </c>
      <c r="N88" s="134" t="s">
        <v>30</v>
      </c>
      <c r="O88" s="117"/>
      <c r="P88" s="138" t="str">
        <f t="shared" si="45"/>
        <v>ABS</v>
      </c>
      <c r="Q88" s="117"/>
      <c r="R88" s="135" t="str">
        <f t="shared" si="46"/>
        <v>ABS</v>
      </c>
      <c r="S88" s="193" t="str">
        <f t="shared" si="47"/>
        <v>ABS</v>
      </c>
      <c r="T88" s="154" t="str">
        <f t="shared" si="48"/>
        <v>ABS</v>
      </c>
      <c r="U88" s="137" t="s">
        <v>32</v>
      </c>
      <c r="V88" s="117"/>
      <c r="W88" s="138" t="str">
        <f t="shared" si="49"/>
        <v>ABS</v>
      </c>
      <c r="X88" s="117"/>
      <c r="Y88" s="135" t="str">
        <f t="shared" si="50"/>
        <v>ABS</v>
      </c>
      <c r="Z88" s="193" t="str">
        <f t="shared" si="51"/>
        <v>ABS</v>
      </c>
      <c r="AA88" s="154" t="str">
        <f t="shared" si="52"/>
        <v>ABS</v>
      </c>
      <c r="AB88" s="120"/>
      <c r="AC88" s="117"/>
      <c r="AD88" s="138" t="str">
        <f t="shared" si="53"/>
        <v>ABS</v>
      </c>
      <c r="AE88" s="117"/>
      <c r="AF88" s="135" t="str">
        <f t="shared" si="54"/>
        <v>ABS</v>
      </c>
      <c r="AG88" s="193" t="str">
        <f t="shared" si="55"/>
        <v>ABS</v>
      </c>
      <c r="AH88" s="154" t="str">
        <f t="shared" si="56"/>
        <v>ABS</v>
      </c>
      <c r="AI88" s="119"/>
      <c r="AJ88" s="117"/>
      <c r="AK88" s="138" t="str">
        <f t="shared" si="57"/>
        <v>ABS</v>
      </c>
      <c r="AL88" s="117"/>
      <c r="AM88" s="135" t="str">
        <f t="shared" si="58"/>
        <v>ABS</v>
      </c>
      <c r="AN88" s="193" t="str">
        <f t="shared" si="59"/>
        <v>ABS</v>
      </c>
      <c r="AO88" s="154" t="str">
        <f t="shared" si="60"/>
        <v>ABS</v>
      </c>
      <c r="AP88" s="120"/>
      <c r="AQ88" s="117"/>
      <c r="AR88" s="138" t="str">
        <f t="shared" si="61"/>
        <v>ABS</v>
      </c>
      <c r="AS88" s="117"/>
      <c r="AT88" s="135" t="str">
        <f t="shared" si="62"/>
        <v>ABS</v>
      </c>
      <c r="AU88" s="193" t="str">
        <f t="shared" si="63"/>
        <v>ABS</v>
      </c>
      <c r="AV88" s="154" t="str">
        <f t="shared" si="64"/>
        <v>ABS</v>
      </c>
      <c r="AW88" s="144"/>
      <c r="AX88" s="129"/>
      <c r="AY88" s="128"/>
      <c r="AZ88" s="135" t="str">
        <f t="shared" si="65"/>
        <v>ABS</v>
      </c>
      <c r="BA88" s="128"/>
      <c r="BB88" s="135" t="str">
        <f t="shared" si="66"/>
        <v>ABS</v>
      </c>
      <c r="BC88" s="193" t="str">
        <f t="shared" si="67"/>
        <v>ABS</v>
      </c>
      <c r="BD88" s="188" t="str">
        <f t="shared" si="68"/>
        <v>ABS</v>
      </c>
    </row>
    <row r="89" spans="2:56" ht="15.5">
      <c r="B89" s="191">
        <v>85</v>
      </c>
      <c r="C89" s="124"/>
      <c r="D89" s="147"/>
      <c r="E89" s="127"/>
      <c r="F89" s="127"/>
      <c r="G89" s="134" t="s">
        <v>23</v>
      </c>
      <c r="H89" s="117"/>
      <c r="I89" s="138" t="str">
        <f t="shared" si="41"/>
        <v>ABS</v>
      </c>
      <c r="J89" s="117"/>
      <c r="K89" s="135" t="str">
        <f t="shared" si="42"/>
        <v>ABS</v>
      </c>
      <c r="L89" s="192" t="str">
        <f t="shared" si="43"/>
        <v>ABS</v>
      </c>
      <c r="M89" s="154" t="str">
        <f t="shared" si="44"/>
        <v>ABS</v>
      </c>
      <c r="N89" s="134" t="s">
        <v>30</v>
      </c>
      <c r="O89" s="117"/>
      <c r="P89" s="138" t="str">
        <f t="shared" si="45"/>
        <v>ABS</v>
      </c>
      <c r="Q89" s="117"/>
      <c r="R89" s="135" t="str">
        <f t="shared" si="46"/>
        <v>ABS</v>
      </c>
      <c r="S89" s="193" t="str">
        <f t="shared" si="47"/>
        <v>ABS</v>
      </c>
      <c r="T89" s="154" t="str">
        <f t="shared" si="48"/>
        <v>ABS</v>
      </c>
      <c r="U89" s="137" t="s">
        <v>32</v>
      </c>
      <c r="V89" s="117"/>
      <c r="W89" s="138" t="str">
        <f t="shared" si="49"/>
        <v>ABS</v>
      </c>
      <c r="X89" s="117"/>
      <c r="Y89" s="135" t="str">
        <f t="shared" si="50"/>
        <v>ABS</v>
      </c>
      <c r="Z89" s="193" t="str">
        <f t="shared" si="51"/>
        <v>ABS</v>
      </c>
      <c r="AA89" s="154" t="str">
        <f t="shared" si="52"/>
        <v>ABS</v>
      </c>
      <c r="AB89" s="120"/>
      <c r="AC89" s="117"/>
      <c r="AD89" s="138" t="str">
        <f t="shared" si="53"/>
        <v>ABS</v>
      </c>
      <c r="AE89" s="117"/>
      <c r="AF89" s="135" t="str">
        <f t="shared" si="54"/>
        <v>ABS</v>
      </c>
      <c r="AG89" s="193" t="str">
        <f t="shared" si="55"/>
        <v>ABS</v>
      </c>
      <c r="AH89" s="154" t="str">
        <f t="shared" si="56"/>
        <v>ABS</v>
      </c>
      <c r="AI89" s="119"/>
      <c r="AJ89" s="117"/>
      <c r="AK89" s="138" t="str">
        <f t="shared" si="57"/>
        <v>ABS</v>
      </c>
      <c r="AL89" s="117"/>
      <c r="AM89" s="135" t="str">
        <f t="shared" si="58"/>
        <v>ABS</v>
      </c>
      <c r="AN89" s="193" t="str">
        <f t="shared" si="59"/>
        <v>ABS</v>
      </c>
      <c r="AO89" s="154" t="str">
        <f t="shared" si="60"/>
        <v>ABS</v>
      </c>
      <c r="AP89" s="120"/>
      <c r="AQ89" s="117"/>
      <c r="AR89" s="138" t="str">
        <f t="shared" si="61"/>
        <v>ABS</v>
      </c>
      <c r="AS89" s="117"/>
      <c r="AT89" s="135" t="str">
        <f t="shared" si="62"/>
        <v>ABS</v>
      </c>
      <c r="AU89" s="193" t="str">
        <f t="shared" si="63"/>
        <v>ABS</v>
      </c>
      <c r="AV89" s="154" t="str">
        <f t="shared" si="64"/>
        <v>ABS</v>
      </c>
      <c r="AW89" s="144"/>
      <c r="AX89" s="129"/>
      <c r="AY89" s="128"/>
      <c r="AZ89" s="135" t="str">
        <f t="shared" si="65"/>
        <v>ABS</v>
      </c>
      <c r="BA89" s="128"/>
      <c r="BB89" s="135" t="str">
        <f t="shared" si="66"/>
        <v>ABS</v>
      </c>
      <c r="BC89" s="193" t="str">
        <f t="shared" si="67"/>
        <v>ABS</v>
      </c>
      <c r="BD89" s="188" t="str">
        <f t="shared" si="68"/>
        <v>ABS</v>
      </c>
    </row>
    <row r="90" spans="2:56" ht="15.5">
      <c r="B90" s="191">
        <v>86</v>
      </c>
      <c r="C90" s="124"/>
      <c r="D90" s="147"/>
      <c r="E90" s="127"/>
      <c r="F90" s="127"/>
      <c r="G90" s="134" t="s">
        <v>23</v>
      </c>
      <c r="H90" s="117"/>
      <c r="I90" s="138" t="str">
        <f t="shared" si="41"/>
        <v>ABS</v>
      </c>
      <c r="J90" s="117"/>
      <c r="K90" s="135" t="str">
        <f t="shared" si="42"/>
        <v>ABS</v>
      </c>
      <c r="L90" s="192" t="str">
        <f t="shared" si="43"/>
        <v>ABS</v>
      </c>
      <c r="M90" s="154" t="str">
        <f t="shared" si="44"/>
        <v>ABS</v>
      </c>
      <c r="N90" s="134" t="s">
        <v>30</v>
      </c>
      <c r="O90" s="117"/>
      <c r="P90" s="138" t="str">
        <f t="shared" si="45"/>
        <v>ABS</v>
      </c>
      <c r="Q90" s="117"/>
      <c r="R90" s="135" t="str">
        <f t="shared" si="46"/>
        <v>ABS</v>
      </c>
      <c r="S90" s="193" t="str">
        <f t="shared" si="47"/>
        <v>ABS</v>
      </c>
      <c r="T90" s="154" t="str">
        <f t="shared" si="48"/>
        <v>ABS</v>
      </c>
      <c r="U90" s="137" t="s">
        <v>32</v>
      </c>
      <c r="V90" s="117"/>
      <c r="W90" s="138" t="str">
        <f t="shared" si="49"/>
        <v>ABS</v>
      </c>
      <c r="X90" s="117"/>
      <c r="Y90" s="135" t="str">
        <f t="shared" si="50"/>
        <v>ABS</v>
      </c>
      <c r="Z90" s="193" t="str">
        <f t="shared" si="51"/>
        <v>ABS</v>
      </c>
      <c r="AA90" s="154" t="str">
        <f t="shared" si="52"/>
        <v>ABS</v>
      </c>
      <c r="AB90" s="120"/>
      <c r="AC90" s="117"/>
      <c r="AD90" s="138" t="str">
        <f t="shared" si="53"/>
        <v>ABS</v>
      </c>
      <c r="AE90" s="117"/>
      <c r="AF90" s="135" t="str">
        <f t="shared" si="54"/>
        <v>ABS</v>
      </c>
      <c r="AG90" s="193" t="str">
        <f t="shared" si="55"/>
        <v>ABS</v>
      </c>
      <c r="AH90" s="154" t="str">
        <f t="shared" si="56"/>
        <v>ABS</v>
      </c>
      <c r="AI90" s="119"/>
      <c r="AJ90" s="117"/>
      <c r="AK90" s="138" t="str">
        <f t="shared" si="57"/>
        <v>ABS</v>
      </c>
      <c r="AL90" s="117"/>
      <c r="AM90" s="135" t="str">
        <f t="shared" si="58"/>
        <v>ABS</v>
      </c>
      <c r="AN90" s="193" t="str">
        <f t="shared" si="59"/>
        <v>ABS</v>
      </c>
      <c r="AO90" s="154" t="str">
        <f t="shared" si="60"/>
        <v>ABS</v>
      </c>
      <c r="AP90" s="120"/>
      <c r="AQ90" s="117"/>
      <c r="AR90" s="138" t="str">
        <f t="shared" si="61"/>
        <v>ABS</v>
      </c>
      <c r="AS90" s="117"/>
      <c r="AT90" s="135" t="str">
        <f t="shared" si="62"/>
        <v>ABS</v>
      </c>
      <c r="AU90" s="193" t="str">
        <f t="shared" si="63"/>
        <v>ABS</v>
      </c>
      <c r="AV90" s="154" t="str">
        <f t="shared" si="64"/>
        <v>ABS</v>
      </c>
      <c r="AW90" s="144"/>
      <c r="AX90" s="129"/>
      <c r="AY90" s="128"/>
      <c r="AZ90" s="135" t="str">
        <f t="shared" si="65"/>
        <v>ABS</v>
      </c>
      <c r="BA90" s="128"/>
      <c r="BB90" s="135" t="str">
        <f t="shared" si="66"/>
        <v>ABS</v>
      </c>
      <c r="BC90" s="193" t="str">
        <f t="shared" si="67"/>
        <v>ABS</v>
      </c>
      <c r="BD90" s="188" t="str">
        <f t="shared" si="68"/>
        <v>ABS</v>
      </c>
    </row>
    <row r="91" spans="2:56" ht="15.5">
      <c r="B91" s="191">
        <v>87</v>
      </c>
      <c r="C91" s="124"/>
      <c r="D91" s="147"/>
      <c r="E91" s="127"/>
      <c r="F91" s="127"/>
      <c r="G91" s="134" t="s">
        <v>23</v>
      </c>
      <c r="H91" s="117"/>
      <c r="I91" s="138" t="str">
        <f t="shared" si="41"/>
        <v>ABS</v>
      </c>
      <c r="J91" s="117"/>
      <c r="K91" s="135" t="str">
        <f t="shared" si="42"/>
        <v>ABS</v>
      </c>
      <c r="L91" s="192" t="str">
        <f t="shared" si="43"/>
        <v>ABS</v>
      </c>
      <c r="M91" s="154" t="str">
        <f t="shared" si="44"/>
        <v>ABS</v>
      </c>
      <c r="N91" s="134" t="s">
        <v>30</v>
      </c>
      <c r="O91" s="117"/>
      <c r="P91" s="138" t="str">
        <f t="shared" si="45"/>
        <v>ABS</v>
      </c>
      <c r="Q91" s="117"/>
      <c r="R91" s="135" t="str">
        <f t="shared" si="46"/>
        <v>ABS</v>
      </c>
      <c r="S91" s="193" t="str">
        <f t="shared" si="47"/>
        <v>ABS</v>
      </c>
      <c r="T91" s="154" t="str">
        <f t="shared" si="48"/>
        <v>ABS</v>
      </c>
      <c r="U91" s="137" t="s">
        <v>32</v>
      </c>
      <c r="V91" s="117"/>
      <c r="W91" s="138" t="str">
        <f t="shared" si="49"/>
        <v>ABS</v>
      </c>
      <c r="X91" s="117"/>
      <c r="Y91" s="135" t="str">
        <f t="shared" si="50"/>
        <v>ABS</v>
      </c>
      <c r="Z91" s="193" t="str">
        <f t="shared" si="51"/>
        <v>ABS</v>
      </c>
      <c r="AA91" s="154" t="str">
        <f t="shared" si="52"/>
        <v>ABS</v>
      </c>
      <c r="AB91" s="120"/>
      <c r="AC91" s="117"/>
      <c r="AD91" s="138" t="str">
        <f t="shared" si="53"/>
        <v>ABS</v>
      </c>
      <c r="AE91" s="117"/>
      <c r="AF91" s="135" t="str">
        <f t="shared" si="54"/>
        <v>ABS</v>
      </c>
      <c r="AG91" s="193" t="str">
        <f t="shared" si="55"/>
        <v>ABS</v>
      </c>
      <c r="AH91" s="154" t="str">
        <f t="shared" si="56"/>
        <v>ABS</v>
      </c>
      <c r="AI91" s="119"/>
      <c r="AJ91" s="117"/>
      <c r="AK91" s="138" t="str">
        <f t="shared" si="57"/>
        <v>ABS</v>
      </c>
      <c r="AL91" s="117"/>
      <c r="AM91" s="135" t="str">
        <f t="shared" si="58"/>
        <v>ABS</v>
      </c>
      <c r="AN91" s="193" t="str">
        <f t="shared" si="59"/>
        <v>ABS</v>
      </c>
      <c r="AO91" s="154" t="str">
        <f t="shared" si="60"/>
        <v>ABS</v>
      </c>
      <c r="AP91" s="120"/>
      <c r="AQ91" s="117"/>
      <c r="AR91" s="138" t="str">
        <f t="shared" si="61"/>
        <v>ABS</v>
      </c>
      <c r="AS91" s="117"/>
      <c r="AT91" s="135" t="str">
        <f t="shared" si="62"/>
        <v>ABS</v>
      </c>
      <c r="AU91" s="193" t="str">
        <f t="shared" si="63"/>
        <v>ABS</v>
      </c>
      <c r="AV91" s="154" t="str">
        <f t="shared" si="64"/>
        <v>ABS</v>
      </c>
      <c r="AW91" s="144"/>
      <c r="AX91" s="129"/>
      <c r="AY91" s="128"/>
      <c r="AZ91" s="135" t="str">
        <f t="shared" si="65"/>
        <v>ABS</v>
      </c>
      <c r="BA91" s="128"/>
      <c r="BB91" s="135" t="str">
        <f t="shared" si="66"/>
        <v>ABS</v>
      </c>
      <c r="BC91" s="193" t="str">
        <f t="shared" si="67"/>
        <v>ABS</v>
      </c>
      <c r="BD91" s="188" t="str">
        <f t="shared" si="68"/>
        <v>ABS</v>
      </c>
    </row>
    <row r="92" spans="2:56" ht="15.5">
      <c r="B92" s="191">
        <v>88</v>
      </c>
      <c r="C92" s="124"/>
      <c r="D92" s="147"/>
      <c r="E92" s="127"/>
      <c r="F92" s="127"/>
      <c r="G92" s="134" t="s">
        <v>23</v>
      </c>
      <c r="H92" s="117"/>
      <c r="I92" s="138" t="str">
        <f t="shared" si="41"/>
        <v>ABS</v>
      </c>
      <c r="J92" s="117"/>
      <c r="K92" s="135" t="str">
        <f t="shared" si="42"/>
        <v>ABS</v>
      </c>
      <c r="L92" s="192" t="str">
        <f t="shared" si="43"/>
        <v>ABS</v>
      </c>
      <c r="M92" s="154" t="str">
        <f t="shared" si="44"/>
        <v>ABS</v>
      </c>
      <c r="N92" s="134" t="s">
        <v>30</v>
      </c>
      <c r="O92" s="117"/>
      <c r="P92" s="138" t="str">
        <f t="shared" si="45"/>
        <v>ABS</v>
      </c>
      <c r="Q92" s="117"/>
      <c r="R92" s="135" t="str">
        <f t="shared" si="46"/>
        <v>ABS</v>
      </c>
      <c r="S92" s="193" t="str">
        <f t="shared" si="47"/>
        <v>ABS</v>
      </c>
      <c r="T92" s="154" t="str">
        <f t="shared" si="48"/>
        <v>ABS</v>
      </c>
      <c r="U92" s="137" t="s">
        <v>32</v>
      </c>
      <c r="V92" s="117"/>
      <c r="W92" s="138" t="str">
        <f t="shared" si="49"/>
        <v>ABS</v>
      </c>
      <c r="X92" s="117"/>
      <c r="Y92" s="135" t="str">
        <f t="shared" si="50"/>
        <v>ABS</v>
      </c>
      <c r="Z92" s="193" t="str">
        <f t="shared" si="51"/>
        <v>ABS</v>
      </c>
      <c r="AA92" s="154" t="str">
        <f t="shared" si="52"/>
        <v>ABS</v>
      </c>
      <c r="AB92" s="120"/>
      <c r="AC92" s="117"/>
      <c r="AD92" s="138" t="str">
        <f t="shared" si="53"/>
        <v>ABS</v>
      </c>
      <c r="AE92" s="117"/>
      <c r="AF92" s="135" t="str">
        <f t="shared" si="54"/>
        <v>ABS</v>
      </c>
      <c r="AG92" s="193" t="str">
        <f t="shared" si="55"/>
        <v>ABS</v>
      </c>
      <c r="AH92" s="154" t="str">
        <f t="shared" si="56"/>
        <v>ABS</v>
      </c>
      <c r="AI92" s="119"/>
      <c r="AJ92" s="117"/>
      <c r="AK92" s="138" t="str">
        <f t="shared" si="57"/>
        <v>ABS</v>
      </c>
      <c r="AL92" s="117"/>
      <c r="AM92" s="135" t="str">
        <f t="shared" si="58"/>
        <v>ABS</v>
      </c>
      <c r="AN92" s="193" t="str">
        <f t="shared" si="59"/>
        <v>ABS</v>
      </c>
      <c r="AO92" s="154" t="str">
        <f t="shared" si="60"/>
        <v>ABS</v>
      </c>
      <c r="AP92" s="120"/>
      <c r="AQ92" s="117"/>
      <c r="AR92" s="138" t="str">
        <f t="shared" si="61"/>
        <v>ABS</v>
      </c>
      <c r="AS92" s="117"/>
      <c r="AT92" s="135" t="str">
        <f t="shared" si="62"/>
        <v>ABS</v>
      </c>
      <c r="AU92" s="193" t="str">
        <f t="shared" si="63"/>
        <v>ABS</v>
      </c>
      <c r="AV92" s="154" t="str">
        <f t="shared" si="64"/>
        <v>ABS</v>
      </c>
      <c r="AW92" s="144"/>
      <c r="AX92" s="129"/>
      <c r="AY92" s="128"/>
      <c r="AZ92" s="135" t="str">
        <f t="shared" si="65"/>
        <v>ABS</v>
      </c>
      <c r="BA92" s="128"/>
      <c r="BB92" s="135" t="str">
        <f t="shared" si="66"/>
        <v>ABS</v>
      </c>
      <c r="BC92" s="193" t="str">
        <f t="shared" si="67"/>
        <v>ABS</v>
      </c>
      <c r="BD92" s="188" t="str">
        <f t="shared" si="68"/>
        <v>ABS</v>
      </c>
    </row>
    <row r="93" spans="2:56" ht="15.5">
      <c r="B93" s="191">
        <v>89</v>
      </c>
      <c r="C93" s="124"/>
      <c r="D93" s="147"/>
      <c r="E93" s="127"/>
      <c r="F93" s="127"/>
      <c r="G93" s="134" t="s">
        <v>23</v>
      </c>
      <c r="H93" s="117"/>
      <c r="I93" s="138" t="str">
        <f t="shared" si="41"/>
        <v>ABS</v>
      </c>
      <c r="J93" s="117"/>
      <c r="K93" s="135" t="str">
        <f t="shared" si="42"/>
        <v>ABS</v>
      </c>
      <c r="L93" s="192" t="str">
        <f t="shared" si="43"/>
        <v>ABS</v>
      </c>
      <c r="M93" s="154" t="str">
        <f t="shared" si="44"/>
        <v>ABS</v>
      </c>
      <c r="N93" s="134" t="s">
        <v>30</v>
      </c>
      <c r="O93" s="117"/>
      <c r="P93" s="138" t="str">
        <f t="shared" si="45"/>
        <v>ABS</v>
      </c>
      <c r="Q93" s="117"/>
      <c r="R93" s="135" t="str">
        <f t="shared" si="46"/>
        <v>ABS</v>
      </c>
      <c r="S93" s="193" t="str">
        <f t="shared" si="47"/>
        <v>ABS</v>
      </c>
      <c r="T93" s="154" t="str">
        <f t="shared" si="48"/>
        <v>ABS</v>
      </c>
      <c r="U93" s="137" t="s">
        <v>32</v>
      </c>
      <c r="V93" s="117"/>
      <c r="W93" s="138" t="str">
        <f t="shared" si="49"/>
        <v>ABS</v>
      </c>
      <c r="X93" s="117"/>
      <c r="Y93" s="135" t="str">
        <f t="shared" si="50"/>
        <v>ABS</v>
      </c>
      <c r="Z93" s="193" t="str">
        <f t="shared" si="51"/>
        <v>ABS</v>
      </c>
      <c r="AA93" s="154" t="str">
        <f t="shared" si="52"/>
        <v>ABS</v>
      </c>
      <c r="AB93" s="119"/>
      <c r="AC93" s="117"/>
      <c r="AD93" s="138" t="str">
        <f t="shared" si="53"/>
        <v>ABS</v>
      </c>
      <c r="AE93" s="117"/>
      <c r="AF93" s="135" t="str">
        <f t="shared" si="54"/>
        <v>ABS</v>
      </c>
      <c r="AG93" s="193" t="str">
        <f t="shared" si="55"/>
        <v>ABS</v>
      </c>
      <c r="AH93" s="154" t="str">
        <f t="shared" si="56"/>
        <v>ABS</v>
      </c>
      <c r="AI93" s="119"/>
      <c r="AJ93" s="117"/>
      <c r="AK93" s="138" t="str">
        <f t="shared" si="57"/>
        <v>ABS</v>
      </c>
      <c r="AL93" s="117"/>
      <c r="AM93" s="135" t="str">
        <f t="shared" si="58"/>
        <v>ABS</v>
      </c>
      <c r="AN93" s="193" t="str">
        <f t="shared" si="59"/>
        <v>ABS</v>
      </c>
      <c r="AO93" s="154" t="str">
        <f t="shared" si="60"/>
        <v>ABS</v>
      </c>
      <c r="AP93" s="120"/>
      <c r="AQ93" s="117"/>
      <c r="AR93" s="138" t="str">
        <f t="shared" si="61"/>
        <v>ABS</v>
      </c>
      <c r="AS93" s="117"/>
      <c r="AT93" s="135" t="str">
        <f t="shared" si="62"/>
        <v>ABS</v>
      </c>
      <c r="AU93" s="193" t="str">
        <f t="shared" si="63"/>
        <v>ABS</v>
      </c>
      <c r="AV93" s="154" t="str">
        <f t="shared" si="64"/>
        <v>ABS</v>
      </c>
      <c r="AW93" s="144"/>
      <c r="AX93" s="129"/>
      <c r="AY93" s="128"/>
      <c r="AZ93" s="135" t="str">
        <f t="shared" si="65"/>
        <v>ABS</v>
      </c>
      <c r="BA93" s="128"/>
      <c r="BB93" s="135" t="str">
        <f t="shared" si="66"/>
        <v>ABS</v>
      </c>
      <c r="BC93" s="193" t="str">
        <f t="shared" si="67"/>
        <v>ABS</v>
      </c>
      <c r="BD93" s="188" t="str">
        <f t="shared" si="68"/>
        <v>ABS</v>
      </c>
    </row>
    <row r="94" spans="2:56" ht="15.5">
      <c r="B94" s="191">
        <v>90</v>
      </c>
      <c r="C94" s="124"/>
      <c r="D94" s="147"/>
      <c r="E94" s="127"/>
      <c r="F94" s="127"/>
      <c r="G94" s="134" t="s">
        <v>23</v>
      </c>
      <c r="H94" s="117"/>
      <c r="I94" s="138" t="str">
        <f t="shared" si="41"/>
        <v>ABS</v>
      </c>
      <c r="J94" s="117"/>
      <c r="K94" s="135" t="str">
        <f t="shared" si="42"/>
        <v>ABS</v>
      </c>
      <c r="L94" s="192" t="str">
        <f t="shared" si="43"/>
        <v>ABS</v>
      </c>
      <c r="M94" s="154" t="str">
        <f t="shared" si="44"/>
        <v>ABS</v>
      </c>
      <c r="N94" s="134" t="s">
        <v>30</v>
      </c>
      <c r="O94" s="117"/>
      <c r="P94" s="138" t="str">
        <f t="shared" si="45"/>
        <v>ABS</v>
      </c>
      <c r="Q94" s="117"/>
      <c r="R94" s="135" t="str">
        <f t="shared" si="46"/>
        <v>ABS</v>
      </c>
      <c r="S94" s="193" t="str">
        <f t="shared" si="47"/>
        <v>ABS</v>
      </c>
      <c r="T94" s="154" t="str">
        <f t="shared" si="48"/>
        <v>ABS</v>
      </c>
      <c r="U94" s="137" t="s">
        <v>32</v>
      </c>
      <c r="V94" s="117"/>
      <c r="W94" s="138" t="str">
        <f t="shared" si="49"/>
        <v>ABS</v>
      </c>
      <c r="X94" s="117"/>
      <c r="Y94" s="135" t="str">
        <f t="shared" si="50"/>
        <v>ABS</v>
      </c>
      <c r="Z94" s="193" t="str">
        <f t="shared" si="51"/>
        <v>ABS</v>
      </c>
      <c r="AA94" s="154" t="str">
        <f t="shared" si="52"/>
        <v>ABS</v>
      </c>
      <c r="AB94" s="119"/>
      <c r="AC94" s="117"/>
      <c r="AD94" s="138" t="str">
        <f t="shared" si="53"/>
        <v>ABS</v>
      </c>
      <c r="AE94" s="117"/>
      <c r="AF94" s="135" t="str">
        <f t="shared" si="54"/>
        <v>ABS</v>
      </c>
      <c r="AG94" s="193" t="str">
        <f t="shared" si="55"/>
        <v>ABS</v>
      </c>
      <c r="AH94" s="154" t="str">
        <f t="shared" si="56"/>
        <v>ABS</v>
      </c>
      <c r="AI94" s="119"/>
      <c r="AJ94" s="117"/>
      <c r="AK94" s="138" t="str">
        <f t="shared" si="57"/>
        <v>ABS</v>
      </c>
      <c r="AL94" s="117"/>
      <c r="AM94" s="135" t="str">
        <f t="shared" si="58"/>
        <v>ABS</v>
      </c>
      <c r="AN94" s="193" t="str">
        <f t="shared" si="59"/>
        <v>ABS</v>
      </c>
      <c r="AO94" s="154" t="str">
        <f t="shared" si="60"/>
        <v>ABS</v>
      </c>
      <c r="AP94" s="120"/>
      <c r="AQ94" s="117"/>
      <c r="AR94" s="138" t="str">
        <f t="shared" si="61"/>
        <v>ABS</v>
      </c>
      <c r="AS94" s="117"/>
      <c r="AT94" s="135" t="str">
        <f t="shared" si="62"/>
        <v>ABS</v>
      </c>
      <c r="AU94" s="193" t="str">
        <f t="shared" si="63"/>
        <v>ABS</v>
      </c>
      <c r="AV94" s="154" t="str">
        <f t="shared" si="64"/>
        <v>ABS</v>
      </c>
      <c r="AW94" s="144"/>
      <c r="AX94" s="129"/>
      <c r="AY94" s="128"/>
      <c r="AZ94" s="135" t="str">
        <f t="shared" si="65"/>
        <v>ABS</v>
      </c>
      <c r="BA94" s="128"/>
      <c r="BB94" s="135" t="str">
        <f t="shared" si="66"/>
        <v>ABS</v>
      </c>
      <c r="BC94" s="193" t="str">
        <f t="shared" si="67"/>
        <v>ABS</v>
      </c>
      <c r="BD94" s="188" t="str">
        <f t="shared" si="68"/>
        <v>ABS</v>
      </c>
    </row>
    <row r="95" spans="2:56" ht="15.5">
      <c r="B95" s="191">
        <v>91</v>
      </c>
      <c r="C95" s="124"/>
      <c r="D95" s="147"/>
      <c r="E95" s="127"/>
      <c r="F95" s="127"/>
      <c r="G95" s="134" t="s">
        <v>23</v>
      </c>
      <c r="H95" s="117"/>
      <c r="I95" s="138" t="str">
        <f t="shared" si="41"/>
        <v>ABS</v>
      </c>
      <c r="J95" s="117"/>
      <c r="K95" s="135" t="str">
        <f t="shared" si="42"/>
        <v>ABS</v>
      </c>
      <c r="L95" s="192" t="str">
        <f t="shared" si="43"/>
        <v>ABS</v>
      </c>
      <c r="M95" s="154" t="str">
        <f t="shared" si="44"/>
        <v>ABS</v>
      </c>
      <c r="N95" s="134" t="s">
        <v>30</v>
      </c>
      <c r="O95" s="117"/>
      <c r="P95" s="138" t="str">
        <f t="shared" si="45"/>
        <v>ABS</v>
      </c>
      <c r="Q95" s="117"/>
      <c r="R95" s="135" t="str">
        <f t="shared" si="46"/>
        <v>ABS</v>
      </c>
      <c r="S95" s="193" t="str">
        <f t="shared" si="47"/>
        <v>ABS</v>
      </c>
      <c r="T95" s="154" t="str">
        <f t="shared" si="48"/>
        <v>ABS</v>
      </c>
      <c r="U95" s="137" t="s">
        <v>32</v>
      </c>
      <c r="V95" s="117"/>
      <c r="W95" s="138" t="str">
        <f t="shared" si="49"/>
        <v>ABS</v>
      </c>
      <c r="X95" s="117"/>
      <c r="Y95" s="135" t="str">
        <f t="shared" si="50"/>
        <v>ABS</v>
      </c>
      <c r="Z95" s="193" t="str">
        <f t="shared" si="51"/>
        <v>ABS</v>
      </c>
      <c r="AA95" s="154" t="str">
        <f t="shared" si="52"/>
        <v>ABS</v>
      </c>
      <c r="AB95" s="119"/>
      <c r="AC95" s="117"/>
      <c r="AD95" s="138" t="str">
        <f t="shared" si="53"/>
        <v>ABS</v>
      </c>
      <c r="AE95" s="117"/>
      <c r="AF95" s="135" t="str">
        <f t="shared" si="54"/>
        <v>ABS</v>
      </c>
      <c r="AG95" s="193" t="str">
        <f t="shared" si="55"/>
        <v>ABS</v>
      </c>
      <c r="AH95" s="154" t="str">
        <f t="shared" si="56"/>
        <v>ABS</v>
      </c>
      <c r="AI95" s="119"/>
      <c r="AJ95" s="117"/>
      <c r="AK95" s="138" t="str">
        <f t="shared" si="57"/>
        <v>ABS</v>
      </c>
      <c r="AL95" s="117"/>
      <c r="AM95" s="135" t="str">
        <f t="shared" si="58"/>
        <v>ABS</v>
      </c>
      <c r="AN95" s="193" t="str">
        <f t="shared" si="59"/>
        <v>ABS</v>
      </c>
      <c r="AO95" s="154" t="str">
        <f t="shared" si="60"/>
        <v>ABS</v>
      </c>
      <c r="AP95" s="120"/>
      <c r="AQ95" s="117"/>
      <c r="AR95" s="138" t="str">
        <f t="shared" si="61"/>
        <v>ABS</v>
      </c>
      <c r="AS95" s="117"/>
      <c r="AT95" s="135" t="str">
        <f t="shared" si="62"/>
        <v>ABS</v>
      </c>
      <c r="AU95" s="193" t="str">
        <f t="shared" si="63"/>
        <v>ABS</v>
      </c>
      <c r="AV95" s="154" t="str">
        <f t="shared" si="64"/>
        <v>ABS</v>
      </c>
      <c r="AW95" s="144"/>
      <c r="AX95" s="129"/>
      <c r="AY95" s="128"/>
      <c r="AZ95" s="135" t="str">
        <f t="shared" si="65"/>
        <v>ABS</v>
      </c>
      <c r="BA95" s="128"/>
      <c r="BB95" s="135" t="str">
        <f t="shared" si="66"/>
        <v>ABS</v>
      </c>
      <c r="BC95" s="193" t="str">
        <f t="shared" si="67"/>
        <v>ABS</v>
      </c>
      <c r="BD95" s="188" t="str">
        <f t="shared" si="68"/>
        <v>ABS</v>
      </c>
    </row>
    <row r="96" spans="2:56" ht="15.5">
      <c r="B96" s="191">
        <v>92</v>
      </c>
      <c r="C96" s="124"/>
      <c r="D96" s="147"/>
      <c r="E96" s="127"/>
      <c r="F96" s="127"/>
      <c r="G96" s="134" t="s">
        <v>23</v>
      </c>
      <c r="H96" s="117"/>
      <c r="I96" s="138" t="str">
        <f t="shared" si="41"/>
        <v>ABS</v>
      </c>
      <c r="J96" s="117"/>
      <c r="K96" s="135" t="str">
        <f t="shared" si="42"/>
        <v>ABS</v>
      </c>
      <c r="L96" s="192" t="str">
        <f t="shared" si="43"/>
        <v>ABS</v>
      </c>
      <c r="M96" s="154" t="str">
        <f t="shared" si="44"/>
        <v>ABS</v>
      </c>
      <c r="N96" s="134" t="s">
        <v>30</v>
      </c>
      <c r="O96" s="117"/>
      <c r="P96" s="138" t="str">
        <f t="shared" si="45"/>
        <v>ABS</v>
      </c>
      <c r="Q96" s="117"/>
      <c r="R96" s="135" t="str">
        <f t="shared" si="46"/>
        <v>ABS</v>
      </c>
      <c r="S96" s="193" t="str">
        <f t="shared" si="47"/>
        <v>ABS</v>
      </c>
      <c r="T96" s="154" t="str">
        <f t="shared" si="48"/>
        <v>ABS</v>
      </c>
      <c r="U96" s="137" t="s">
        <v>32</v>
      </c>
      <c r="V96" s="117"/>
      <c r="W96" s="138" t="str">
        <f t="shared" si="49"/>
        <v>ABS</v>
      </c>
      <c r="X96" s="117"/>
      <c r="Y96" s="135" t="str">
        <f t="shared" si="50"/>
        <v>ABS</v>
      </c>
      <c r="Z96" s="193" t="str">
        <f t="shared" si="51"/>
        <v>ABS</v>
      </c>
      <c r="AA96" s="154" t="str">
        <f t="shared" si="52"/>
        <v>ABS</v>
      </c>
      <c r="AB96" s="119"/>
      <c r="AC96" s="117"/>
      <c r="AD96" s="138" t="str">
        <f t="shared" si="53"/>
        <v>ABS</v>
      </c>
      <c r="AE96" s="117"/>
      <c r="AF96" s="135" t="str">
        <f t="shared" si="54"/>
        <v>ABS</v>
      </c>
      <c r="AG96" s="193" t="str">
        <f t="shared" si="55"/>
        <v>ABS</v>
      </c>
      <c r="AH96" s="154" t="str">
        <f t="shared" si="56"/>
        <v>ABS</v>
      </c>
      <c r="AI96" s="119"/>
      <c r="AJ96" s="117"/>
      <c r="AK96" s="138" t="str">
        <f t="shared" si="57"/>
        <v>ABS</v>
      </c>
      <c r="AL96" s="117"/>
      <c r="AM96" s="135" t="str">
        <f t="shared" si="58"/>
        <v>ABS</v>
      </c>
      <c r="AN96" s="193" t="str">
        <f t="shared" si="59"/>
        <v>ABS</v>
      </c>
      <c r="AO96" s="154" t="str">
        <f t="shared" si="60"/>
        <v>ABS</v>
      </c>
      <c r="AP96" s="120"/>
      <c r="AQ96" s="117"/>
      <c r="AR96" s="138" t="str">
        <f t="shared" si="61"/>
        <v>ABS</v>
      </c>
      <c r="AS96" s="117"/>
      <c r="AT96" s="135" t="str">
        <f t="shared" si="62"/>
        <v>ABS</v>
      </c>
      <c r="AU96" s="193" t="str">
        <f t="shared" si="63"/>
        <v>ABS</v>
      </c>
      <c r="AV96" s="154" t="str">
        <f t="shared" si="64"/>
        <v>ABS</v>
      </c>
      <c r="AW96" s="144"/>
      <c r="AX96" s="129"/>
      <c r="AY96" s="128"/>
      <c r="AZ96" s="135" t="str">
        <f t="shared" si="65"/>
        <v>ABS</v>
      </c>
      <c r="BA96" s="128"/>
      <c r="BB96" s="135" t="str">
        <f t="shared" si="66"/>
        <v>ABS</v>
      </c>
      <c r="BC96" s="193" t="str">
        <f t="shared" si="67"/>
        <v>ABS</v>
      </c>
      <c r="BD96" s="188" t="str">
        <f t="shared" si="68"/>
        <v>ABS</v>
      </c>
    </row>
    <row r="97" spans="2:56" ht="15.5">
      <c r="B97" s="191">
        <v>93</v>
      </c>
      <c r="C97" s="124"/>
      <c r="D97" s="147"/>
      <c r="E97" s="127"/>
      <c r="F97" s="127"/>
      <c r="G97" s="134" t="s">
        <v>23</v>
      </c>
      <c r="H97" s="117"/>
      <c r="I97" s="138" t="str">
        <f t="shared" si="41"/>
        <v>ABS</v>
      </c>
      <c r="J97" s="117"/>
      <c r="K97" s="135" t="str">
        <f t="shared" si="42"/>
        <v>ABS</v>
      </c>
      <c r="L97" s="192" t="str">
        <f t="shared" si="43"/>
        <v>ABS</v>
      </c>
      <c r="M97" s="154" t="str">
        <f t="shared" si="44"/>
        <v>ABS</v>
      </c>
      <c r="N97" s="134" t="s">
        <v>30</v>
      </c>
      <c r="O97" s="117"/>
      <c r="P97" s="138" t="str">
        <f t="shared" si="45"/>
        <v>ABS</v>
      </c>
      <c r="Q97" s="117"/>
      <c r="R97" s="135" t="str">
        <f t="shared" si="46"/>
        <v>ABS</v>
      </c>
      <c r="S97" s="193" t="str">
        <f t="shared" si="47"/>
        <v>ABS</v>
      </c>
      <c r="T97" s="154" t="str">
        <f t="shared" si="48"/>
        <v>ABS</v>
      </c>
      <c r="U97" s="137" t="s">
        <v>32</v>
      </c>
      <c r="V97" s="117"/>
      <c r="W97" s="138" t="str">
        <f t="shared" si="49"/>
        <v>ABS</v>
      </c>
      <c r="X97" s="117"/>
      <c r="Y97" s="135" t="str">
        <f t="shared" si="50"/>
        <v>ABS</v>
      </c>
      <c r="Z97" s="193" t="str">
        <f t="shared" si="51"/>
        <v>ABS</v>
      </c>
      <c r="AA97" s="154" t="str">
        <f t="shared" si="52"/>
        <v>ABS</v>
      </c>
      <c r="AB97" s="119"/>
      <c r="AC97" s="117"/>
      <c r="AD97" s="138" t="str">
        <f t="shared" si="53"/>
        <v>ABS</v>
      </c>
      <c r="AE97" s="117"/>
      <c r="AF97" s="135" t="str">
        <f t="shared" si="54"/>
        <v>ABS</v>
      </c>
      <c r="AG97" s="193" t="str">
        <f t="shared" si="55"/>
        <v>ABS</v>
      </c>
      <c r="AH97" s="154" t="str">
        <f t="shared" si="56"/>
        <v>ABS</v>
      </c>
      <c r="AI97" s="119"/>
      <c r="AJ97" s="117"/>
      <c r="AK97" s="138" t="str">
        <f t="shared" si="57"/>
        <v>ABS</v>
      </c>
      <c r="AL97" s="117"/>
      <c r="AM97" s="135" t="str">
        <f t="shared" si="58"/>
        <v>ABS</v>
      </c>
      <c r="AN97" s="193" t="str">
        <f t="shared" si="59"/>
        <v>ABS</v>
      </c>
      <c r="AO97" s="154" t="str">
        <f t="shared" si="60"/>
        <v>ABS</v>
      </c>
      <c r="AP97" s="120"/>
      <c r="AQ97" s="117"/>
      <c r="AR97" s="138" t="str">
        <f t="shared" si="61"/>
        <v>ABS</v>
      </c>
      <c r="AS97" s="117"/>
      <c r="AT97" s="135" t="str">
        <f t="shared" si="62"/>
        <v>ABS</v>
      </c>
      <c r="AU97" s="193" t="str">
        <f t="shared" si="63"/>
        <v>ABS</v>
      </c>
      <c r="AV97" s="154" t="str">
        <f t="shared" si="64"/>
        <v>ABS</v>
      </c>
      <c r="AW97" s="144"/>
      <c r="AX97" s="129"/>
      <c r="AY97" s="128"/>
      <c r="AZ97" s="135" t="str">
        <f t="shared" si="65"/>
        <v>ABS</v>
      </c>
      <c r="BA97" s="128"/>
      <c r="BB97" s="135" t="str">
        <f t="shared" si="66"/>
        <v>ABS</v>
      </c>
      <c r="BC97" s="193" t="str">
        <f t="shared" si="67"/>
        <v>ABS</v>
      </c>
      <c r="BD97" s="188" t="str">
        <f t="shared" si="68"/>
        <v>ABS</v>
      </c>
    </row>
    <row r="98" spans="2:56" ht="15.5">
      <c r="B98" s="191">
        <v>94</v>
      </c>
      <c r="C98" s="124"/>
      <c r="D98" s="147"/>
      <c r="E98" s="127"/>
      <c r="F98" s="127"/>
      <c r="G98" s="134" t="s">
        <v>23</v>
      </c>
      <c r="H98" s="117"/>
      <c r="I98" s="138" t="str">
        <f t="shared" si="41"/>
        <v>ABS</v>
      </c>
      <c r="J98" s="117"/>
      <c r="K98" s="135" t="str">
        <f t="shared" si="42"/>
        <v>ABS</v>
      </c>
      <c r="L98" s="192" t="str">
        <f t="shared" si="43"/>
        <v>ABS</v>
      </c>
      <c r="M98" s="154" t="str">
        <f t="shared" si="44"/>
        <v>ABS</v>
      </c>
      <c r="N98" s="134" t="s">
        <v>30</v>
      </c>
      <c r="O98" s="117"/>
      <c r="P98" s="138" t="str">
        <f t="shared" si="45"/>
        <v>ABS</v>
      </c>
      <c r="Q98" s="117"/>
      <c r="R98" s="135" t="str">
        <f t="shared" si="46"/>
        <v>ABS</v>
      </c>
      <c r="S98" s="193" t="str">
        <f t="shared" si="47"/>
        <v>ABS</v>
      </c>
      <c r="T98" s="154" t="str">
        <f t="shared" si="48"/>
        <v>ABS</v>
      </c>
      <c r="U98" s="137" t="s">
        <v>32</v>
      </c>
      <c r="V98" s="117"/>
      <c r="W98" s="138" t="str">
        <f t="shared" si="49"/>
        <v>ABS</v>
      </c>
      <c r="X98" s="117"/>
      <c r="Y98" s="135" t="str">
        <f t="shared" si="50"/>
        <v>ABS</v>
      </c>
      <c r="Z98" s="193" t="str">
        <f t="shared" si="51"/>
        <v>ABS</v>
      </c>
      <c r="AA98" s="154" t="str">
        <f t="shared" si="52"/>
        <v>ABS</v>
      </c>
      <c r="AB98" s="119"/>
      <c r="AC98" s="117"/>
      <c r="AD98" s="138" t="str">
        <f t="shared" si="53"/>
        <v>ABS</v>
      </c>
      <c r="AE98" s="117"/>
      <c r="AF98" s="135" t="str">
        <f t="shared" si="54"/>
        <v>ABS</v>
      </c>
      <c r="AG98" s="193" t="str">
        <f t="shared" si="55"/>
        <v>ABS</v>
      </c>
      <c r="AH98" s="154" t="str">
        <f t="shared" si="56"/>
        <v>ABS</v>
      </c>
      <c r="AI98" s="119"/>
      <c r="AJ98" s="117"/>
      <c r="AK98" s="138" t="str">
        <f t="shared" si="57"/>
        <v>ABS</v>
      </c>
      <c r="AL98" s="117"/>
      <c r="AM98" s="135" t="str">
        <f t="shared" si="58"/>
        <v>ABS</v>
      </c>
      <c r="AN98" s="193" t="str">
        <f t="shared" si="59"/>
        <v>ABS</v>
      </c>
      <c r="AO98" s="154" t="str">
        <f t="shared" si="60"/>
        <v>ABS</v>
      </c>
      <c r="AP98" s="120"/>
      <c r="AQ98" s="117"/>
      <c r="AR98" s="138" t="str">
        <f t="shared" si="61"/>
        <v>ABS</v>
      </c>
      <c r="AS98" s="117"/>
      <c r="AT98" s="135" t="str">
        <f t="shared" si="62"/>
        <v>ABS</v>
      </c>
      <c r="AU98" s="193" t="str">
        <f t="shared" si="63"/>
        <v>ABS</v>
      </c>
      <c r="AV98" s="154" t="str">
        <f t="shared" si="64"/>
        <v>ABS</v>
      </c>
      <c r="AW98" s="144"/>
      <c r="AX98" s="129"/>
      <c r="AY98" s="128"/>
      <c r="AZ98" s="135" t="str">
        <f t="shared" si="65"/>
        <v>ABS</v>
      </c>
      <c r="BA98" s="128"/>
      <c r="BB98" s="135" t="str">
        <f t="shared" si="66"/>
        <v>ABS</v>
      </c>
      <c r="BC98" s="193" t="str">
        <f t="shared" si="67"/>
        <v>ABS</v>
      </c>
      <c r="BD98" s="188" t="str">
        <f t="shared" si="68"/>
        <v>ABS</v>
      </c>
    </row>
    <row r="99" spans="2:56" ht="15.5">
      <c r="B99" s="191">
        <v>95</v>
      </c>
      <c r="C99" s="124"/>
      <c r="D99" s="147"/>
      <c r="E99" s="126"/>
      <c r="F99" s="116"/>
      <c r="G99" s="134" t="s">
        <v>23</v>
      </c>
      <c r="H99" s="128"/>
      <c r="I99" s="138" t="str">
        <f t="shared" si="41"/>
        <v>ABS</v>
      </c>
      <c r="J99" s="128"/>
      <c r="K99" s="135" t="str">
        <f t="shared" si="42"/>
        <v>ABS</v>
      </c>
      <c r="L99" s="192" t="str">
        <f t="shared" si="43"/>
        <v>ABS</v>
      </c>
      <c r="M99" s="154" t="str">
        <f t="shared" si="44"/>
        <v>ABS</v>
      </c>
      <c r="N99" s="134" t="s">
        <v>30</v>
      </c>
      <c r="O99" s="128"/>
      <c r="P99" s="138" t="str">
        <f t="shared" si="45"/>
        <v>ABS</v>
      </c>
      <c r="Q99" s="128"/>
      <c r="R99" s="135" t="str">
        <f t="shared" si="46"/>
        <v>ABS</v>
      </c>
      <c r="S99" s="193" t="str">
        <f t="shared" si="47"/>
        <v>ABS</v>
      </c>
      <c r="T99" s="154" t="str">
        <f t="shared" si="48"/>
        <v>ABS</v>
      </c>
      <c r="U99" s="137" t="s">
        <v>32</v>
      </c>
      <c r="V99" s="128"/>
      <c r="W99" s="138" t="str">
        <f t="shared" si="49"/>
        <v>ABS</v>
      </c>
      <c r="X99" s="128"/>
      <c r="Y99" s="135" t="str">
        <f t="shared" si="50"/>
        <v>ABS</v>
      </c>
      <c r="Z99" s="193" t="str">
        <f t="shared" si="51"/>
        <v>ABS</v>
      </c>
      <c r="AA99" s="154" t="str">
        <f t="shared" si="52"/>
        <v>ABS</v>
      </c>
      <c r="AB99" s="119"/>
      <c r="AC99" s="128"/>
      <c r="AD99" s="138" t="str">
        <f t="shared" si="53"/>
        <v>ABS</v>
      </c>
      <c r="AE99" s="128"/>
      <c r="AF99" s="135" t="str">
        <f t="shared" si="54"/>
        <v>ABS</v>
      </c>
      <c r="AG99" s="193" t="str">
        <f t="shared" si="55"/>
        <v>ABS</v>
      </c>
      <c r="AH99" s="154" t="str">
        <f t="shared" si="56"/>
        <v>ABS</v>
      </c>
      <c r="AI99" s="129"/>
      <c r="AJ99" s="128"/>
      <c r="AK99" s="138" t="str">
        <f t="shared" si="57"/>
        <v>ABS</v>
      </c>
      <c r="AL99" s="128"/>
      <c r="AM99" s="135" t="str">
        <f t="shared" si="58"/>
        <v>ABS</v>
      </c>
      <c r="AN99" s="193" t="str">
        <f t="shared" si="59"/>
        <v>ABS</v>
      </c>
      <c r="AO99" s="154" t="str">
        <f t="shared" si="60"/>
        <v>ABS</v>
      </c>
      <c r="AP99" s="129"/>
      <c r="AQ99" s="128"/>
      <c r="AR99" s="138" t="str">
        <f t="shared" si="61"/>
        <v>ABS</v>
      </c>
      <c r="AS99" s="128"/>
      <c r="AT99" s="135" t="str">
        <f t="shared" si="62"/>
        <v>ABS</v>
      </c>
      <c r="AU99" s="193" t="str">
        <f t="shared" si="63"/>
        <v>ABS</v>
      </c>
      <c r="AV99" s="154" t="str">
        <f t="shared" si="64"/>
        <v>ABS</v>
      </c>
      <c r="AW99" s="144"/>
      <c r="AX99" s="129"/>
      <c r="AY99" s="128"/>
      <c r="AZ99" s="135" t="str">
        <f t="shared" si="65"/>
        <v>ABS</v>
      </c>
      <c r="BA99" s="128"/>
      <c r="BB99" s="135" t="str">
        <f t="shared" si="66"/>
        <v>ABS</v>
      </c>
      <c r="BC99" s="193" t="str">
        <f t="shared" si="67"/>
        <v>ABS</v>
      </c>
      <c r="BD99" s="188" t="str">
        <f t="shared" si="68"/>
        <v>ABS</v>
      </c>
    </row>
    <row r="100" spans="2:56" ht="15.5">
      <c r="B100" s="191">
        <v>96</v>
      </c>
      <c r="C100" s="124"/>
      <c r="D100" s="147"/>
      <c r="E100" s="126"/>
      <c r="F100" s="116"/>
      <c r="G100" s="134" t="s">
        <v>23</v>
      </c>
      <c r="H100" s="128"/>
      <c r="I100" s="138" t="str">
        <f t="shared" si="41"/>
        <v>ABS</v>
      </c>
      <c r="J100" s="128"/>
      <c r="K100" s="135" t="str">
        <f t="shared" si="42"/>
        <v>ABS</v>
      </c>
      <c r="L100" s="192" t="str">
        <f t="shared" si="43"/>
        <v>ABS</v>
      </c>
      <c r="M100" s="154" t="str">
        <f t="shared" si="44"/>
        <v>ABS</v>
      </c>
      <c r="N100" s="134" t="s">
        <v>30</v>
      </c>
      <c r="O100" s="128"/>
      <c r="P100" s="138" t="str">
        <f t="shared" si="45"/>
        <v>ABS</v>
      </c>
      <c r="Q100" s="128"/>
      <c r="R100" s="135" t="str">
        <f t="shared" si="46"/>
        <v>ABS</v>
      </c>
      <c r="S100" s="193" t="str">
        <f t="shared" si="47"/>
        <v>ABS</v>
      </c>
      <c r="T100" s="154" t="str">
        <f t="shared" si="48"/>
        <v>ABS</v>
      </c>
      <c r="U100" s="137" t="s">
        <v>32</v>
      </c>
      <c r="V100" s="128"/>
      <c r="W100" s="138" t="str">
        <f t="shared" si="49"/>
        <v>ABS</v>
      </c>
      <c r="X100" s="128"/>
      <c r="Y100" s="135" t="str">
        <f t="shared" si="50"/>
        <v>ABS</v>
      </c>
      <c r="Z100" s="193" t="str">
        <f t="shared" si="51"/>
        <v>ABS</v>
      </c>
      <c r="AA100" s="154" t="str">
        <f t="shared" si="52"/>
        <v>ABS</v>
      </c>
      <c r="AB100" s="119"/>
      <c r="AC100" s="128"/>
      <c r="AD100" s="138" t="str">
        <f t="shared" si="53"/>
        <v>ABS</v>
      </c>
      <c r="AE100" s="128"/>
      <c r="AF100" s="135" t="str">
        <f t="shared" si="54"/>
        <v>ABS</v>
      </c>
      <c r="AG100" s="193" t="str">
        <f t="shared" si="55"/>
        <v>ABS</v>
      </c>
      <c r="AH100" s="154" t="str">
        <f t="shared" si="56"/>
        <v>ABS</v>
      </c>
      <c r="AI100" s="129"/>
      <c r="AJ100" s="128"/>
      <c r="AK100" s="138" t="str">
        <f t="shared" si="57"/>
        <v>ABS</v>
      </c>
      <c r="AL100" s="128"/>
      <c r="AM100" s="135" t="str">
        <f t="shared" si="58"/>
        <v>ABS</v>
      </c>
      <c r="AN100" s="193" t="str">
        <f t="shared" si="59"/>
        <v>ABS</v>
      </c>
      <c r="AO100" s="154" t="str">
        <f t="shared" si="60"/>
        <v>ABS</v>
      </c>
      <c r="AP100" s="129"/>
      <c r="AQ100" s="128"/>
      <c r="AR100" s="138" t="str">
        <f t="shared" si="61"/>
        <v>ABS</v>
      </c>
      <c r="AS100" s="128"/>
      <c r="AT100" s="135" t="str">
        <f t="shared" si="62"/>
        <v>ABS</v>
      </c>
      <c r="AU100" s="193" t="str">
        <f t="shared" si="63"/>
        <v>ABS</v>
      </c>
      <c r="AV100" s="154" t="str">
        <f t="shared" si="64"/>
        <v>ABS</v>
      </c>
      <c r="AW100" s="144"/>
      <c r="AX100" s="129"/>
      <c r="AY100" s="128"/>
      <c r="AZ100" s="135" t="str">
        <f t="shared" si="65"/>
        <v>ABS</v>
      </c>
      <c r="BA100" s="128"/>
      <c r="BB100" s="135" t="str">
        <f t="shared" si="66"/>
        <v>ABS</v>
      </c>
      <c r="BC100" s="193" t="str">
        <f t="shared" si="67"/>
        <v>ABS</v>
      </c>
      <c r="BD100" s="188" t="str">
        <f t="shared" si="68"/>
        <v>ABS</v>
      </c>
    </row>
    <row r="101" spans="2:56" ht="15.5">
      <c r="B101" s="191">
        <v>97</v>
      </c>
      <c r="C101" s="124"/>
      <c r="D101" s="147"/>
      <c r="E101" s="126"/>
      <c r="F101" s="116"/>
      <c r="G101" s="134" t="s">
        <v>23</v>
      </c>
      <c r="H101" s="128"/>
      <c r="I101" s="138" t="str">
        <f t="shared" si="41"/>
        <v>ABS</v>
      </c>
      <c r="J101" s="128"/>
      <c r="K101" s="135" t="str">
        <f t="shared" si="42"/>
        <v>ABS</v>
      </c>
      <c r="L101" s="192" t="str">
        <f t="shared" si="43"/>
        <v>ABS</v>
      </c>
      <c r="M101" s="154" t="str">
        <f t="shared" si="44"/>
        <v>ABS</v>
      </c>
      <c r="N101" s="134" t="s">
        <v>30</v>
      </c>
      <c r="O101" s="128"/>
      <c r="P101" s="138" t="str">
        <f t="shared" si="45"/>
        <v>ABS</v>
      </c>
      <c r="Q101" s="128"/>
      <c r="R101" s="135" t="str">
        <f t="shared" si="46"/>
        <v>ABS</v>
      </c>
      <c r="S101" s="193" t="str">
        <f t="shared" si="47"/>
        <v>ABS</v>
      </c>
      <c r="T101" s="154" t="str">
        <f t="shared" si="48"/>
        <v>ABS</v>
      </c>
      <c r="U101" s="137" t="s">
        <v>32</v>
      </c>
      <c r="V101" s="128"/>
      <c r="W101" s="138" t="str">
        <f t="shared" si="49"/>
        <v>ABS</v>
      </c>
      <c r="X101" s="128"/>
      <c r="Y101" s="135" t="str">
        <f t="shared" si="50"/>
        <v>ABS</v>
      </c>
      <c r="Z101" s="193" t="str">
        <f t="shared" si="51"/>
        <v>ABS</v>
      </c>
      <c r="AA101" s="154" t="str">
        <f t="shared" si="52"/>
        <v>ABS</v>
      </c>
      <c r="AB101" s="119"/>
      <c r="AC101" s="128"/>
      <c r="AD101" s="138" t="str">
        <f t="shared" si="53"/>
        <v>ABS</v>
      </c>
      <c r="AE101" s="128"/>
      <c r="AF101" s="135" t="str">
        <f t="shared" si="54"/>
        <v>ABS</v>
      </c>
      <c r="AG101" s="193" t="str">
        <f t="shared" si="55"/>
        <v>ABS</v>
      </c>
      <c r="AH101" s="154" t="str">
        <f t="shared" si="56"/>
        <v>ABS</v>
      </c>
      <c r="AI101" s="129"/>
      <c r="AJ101" s="128"/>
      <c r="AK101" s="138" t="str">
        <f t="shared" si="57"/>
        <v>ABS</v>
      </c>
      <c r="AL101" s="128"/>
      <c r="AM101" s="135" t="str">
        <f t="shared" si="58"/>
        <v>ABS</v>
      </c>
      <c r="AN101" s="193" t="str">
        <f t="shared" si="59"/>
        <v>ABS</v>
      </c>
      <c r="AO101" s="154" t="str">
        <f t="shared" si="60"/>
        <v>ABS</v>
      </c>
      <c r="AP101" s="129"/>
      <c r="AQ101" s="128"/>
      <c r="AR101" s="138" t="str">
        <f t="shared" si="61"/>
        <v>ABS</v>
      </c>
      <c r="AS101" s="128"/>
      <c r="AT101" s="135" t="str">
        <f t="shared" si="62"/>
        <v>ABS</v>
      </c>
      <c r="AU101" s="193" t="str">
        <f t="shared" si="63"/>
        <v>ABS</v>
      </c>
      <c r="AV101" s="154" t="str">
        <f t="shared" si="64"/>
        <v>ABS</v>
      </c>
      <c r="AW101" s="144"/>
      <c r="AX101" s="129"/>
      <c r="AY101" s="128"/>
      <c r="AZ101" s="135" t="str">
        <f t="shared" si="65"/>
        <v>ABS</v>
      </c>
      <c r="BA101" s="128"/>
      <c r="BB101" s="135" t="str">
        <f t="shared" si="66"/>
        <v>ABS</v>
      </c>
      <c r="BC101" s="193" t="str">
        <f t="shared" si="67"/>
        <v>ABS</v>
      </c>
      <c r="BD101" s="188" t="str">
        <f t="shared" si="68"/>
        <v>ABS</v>
      </c>
    </row>
    <row r="102" spans="2:56" ht="15.5">
      <c r="B102" s="191">
        <v>98</v>
      </c>
      <c r="C102" s="124"/>
      <c r="D102" s="147"/>
      <c r="E102" s="126"/>
      <c r="F102" s="116"/>
      <c r="G102" s="134" t="s">
        <v>23</v>
      </c>
      <c r="H102" s="128"/>
      <c r="I102" s="138" t="str">
        <f t="shared" si="41"/>
        <v>ABS</v>
      </c>
      <c r="J102" s="128"/>
      <c r="K102" s="135" t="str">
        <f t="shared" si="42"/>
        <v>ABS</v>
      </c>
      <c r="L102" s="192" t="str">
        <f t="shared" si="43"/>
        <v>ABS</v>
      </c>
      <c r="M102" s="154" t="str">
        <f t="shared" si="44"/>
        <v>ABS</v>
      </c>
      <c r="N102" s="134" t="s">
        <v>30</v>
      </c>
      <c r="O102" s="128"/>
      <c r="P102" s="138" t="str">
        <f t="shared" si="45"/>
        <v>ABS</v>
      </c>
      <c r="Q102" s="128"/>
      <c r="R102" s="135" t="str">
        <f t="shared" si="46"/>
        <v>ABS</v>
      </c>
      <c r="S102" s="193" t="str">
        <f t="shared" si="47"/>
        <v>ABS</v>
      </c>
      <c r="T102" s="154" t="str">
        <f t="shared" si="48"/>
        <v>ABS</v>
      </c>
      <c r="U102" s="137" t="s">
        <v>32</v>
      </c>
      <c r="V102" s="128"/>
      <c r="W102" s="138" t="str">
        <f t="shared" si="49"/>
        <v>ABS</v>
      </c>
      <c r="X102" s="128"/>
      <c r="Y102" s="135" t="str">
        <f t="shared" si="50"/>
        <v>ABS</v>
      </c>
      <c r="Z102" s="193" t="str">
        <f t="shared" si="51"/>
        <v>ABS</v>
      </c>
      <c r="AA102" s="154" t="str">
        <f t="shared" si="52"/>
        <v>ABS</v>
      </c>
      <c r="AB102" s="119"/>
      <c r="AC102" s="128"/>
      <c r="AD102" s="138" t="str">
        <f t="shared" si="53"/>
        <v>ABS</v>
      </c>
      <c r="AE102" s="128"/>
      <c r="AF102" s="135" t="str">
        <f t="shared" si="54"/>
        <v>ABS</v>
      </c>
      <c r="AG102" s="193" t="str">
        <f t="shared" si="55"/>
        <v>ABS</v>
      </c>
      <c r="AH102" s="154" t="str">
        <f t="shared" si="56"/>
        <v>ABS</v>
      </c>
      <c r="AI102" s="129"/>
      <c r="AJ102" s="128"/>
      <c r="AK102" s="138" t="str">
        <f t="shared" si="57"/>
        <v>ABS</v>
      </c>
      <c r="AL102" s="128"/>
      <c r="AM102" s="135" t="str">
        <f t="shared" si="58"/>
        <v>ABS</v>
      </c>
      <c r="AN102" s="193" t="str">
        <f t="shared" si="59"/>
        <v>ABS</v>
      </c>
      <c r="AO102" s="154" t="str">
        <f t="shared" si="60"/>
        <v>ABS</v>
      </c>
      <c r="AP102" s="129"/>
      <c r="AQ102" s="128"/>
      <c r="AR102" s="138" t="str">
        <f t="shared" si="61"/>
        <v>ABS</v>
      </c>
      <c r="AS102" s="128"/>
      <c r="AT102" s="135" t="str">
        <f t="shared" si="62"/>
        <v>ABS</v>
      </c>
      <c r="AU102" s="193" t="str">
        <f t="shared" si="63"/>
        <v>ABS</v>
      </c>
      <c r="AV102" s="154" t="str">
        <f t="shared" si="64"/>
        <v>ABS</v>
      </c>
      <c r="AW102" s="144"/>
      <c r="AX102" s="129"/>
      <c r="AY102" s="128"/>
      <c r="AZ102" s="135" t="str">
        <f t="shared" si="65"/>
        <v>ABS</v>
      </c>
      <c r="BA102" s="128"/>
      <c r="BB102" s="135" t="str">
        <f t="shared" si="66"/>
        <v>ABS</v>
      </c>
      <c r="BC102" s="193" t="str">
        <f t="shared" si="67"/>
        <v>ABS</v>
      </c>
      <c r="BD102" s="188" t="str">
        <f t="shared" si="68"/>
        <v>ABS</v>
      </c>
    </row>
    <row r="103" spans="2:56" ht="15.5">
      <c r="B103" s="191">
        <v>99</v>
      </c>
      <c r="C103" s="124"/>
      <c r="D103" s="147"/>
      <c r="E103" s="126"/>
      <c r="F103" s="116"/>
      <c r="G103" s="134" t="s">
        <v>23</v>
      </c>
      <c r="H103" s="128"/>
      <c r="I103" s="138" t="str">
        <f t="shared" si="41"/>
        <v>ABS</v>
      </c>
      <c r="J103" s="128"/>
      <c r="K103" s="135" t="str">
        <f t="shared" si="42"/>
        <v>ABS</v>
      </c>
      <c r="L103" s="192" t="str">
        <f t="shared" si="43"/>
        <v>ABS</v>
      </c>
      <c r="M103" s="154" t="str">
        <f t="shared" si="44"/>
        <v>ABS</v>
      </c>
      <c r="N103" s="134" t="s">
        <v>30</v>
      </c>
      <c r="O103" s="128"/>
      <c r="P103" s="138" t="str">
        <f t="shared" si="45"/>
        <v>ABS</v>
      </c>
      <c r="Q103" s="128"/>
      <c r="R103" s="135" t="str">
        <f t="shared" si="46"/>
        <v>ABS</v>
      </c>
      <c r="S103" s="193" t="str">
        <f t="shared" si="47"/>
        <v>ABS</v>
      </c>
      <c r="T103" s="154" t="str">
        <f t="shared" si="48"/>
        <v>ABS</v>
      </c>
      <c r="U103" s="137" t="s">
        <v>32</v>
      </c>
      <c r="V103" s="128"/>
      <c r="W103" s="138" t="str">
        <f t="shared" si="49"/>
        <v>ABS</v>
      </c>
      <c r="X103" s="128"/>
      <c r="Y103" s="135" t="str">
        <f t="shared" si="50"/>
        <v>ABS</v>
      </c>
      <c r="Z103" s="193" t="str">
        <f t="shared" si="51"/>
        <v>ABS</v>
      </c>
      <c r="AA103" s="154" t="str">
        <f t="shared" si="52"/>
        <v>ABS</v>
      </c>
      <c r="AB103" s="119"/>
      <c r="AC103" s="128"/>
      <c r="AD103" s="138" t="str">
        <f t="shared" si="53"/>
        <v>ABS</v>
      </c>
      <c r="AE103" s="128"/>
      <c r="AF103" s="135" t="str">
        <f t="shared" si="54"/>
        <v>ABS</v>
      </c>
      <c r="AG103" s="193" t="str">
        <f t="shared" si="55"/>
        <v>ABS</v>
      </c>
      <c r="AH103" s="154" t="str">
        <f t="shared" si="56"/>
        <v>ABS</v>
      </c>
      <c r="AI103" s="129"/>
      <c r="AJ103" s="128"/>
      <c r="AK103" s="138" t="str">
        <f t="shared" si="57"/>
        <v>ABS</v>
      </c>
      <c r="AL103" s="128"/>
      <c r="AM103" s="135" t="str">
        <f t="shared" si="58"/>
        <v>ABS</v>
      </c>
      <c r="AN103" s="193" t="str">
        <f t="shared" si="59"/>
        <v>ABS</v>
      </c>
      <c r="AO103" s="154" t="str">
        <f t="shared" si="60"/>
        <v>ABS</v>
      </c>
      <c r="AP103" s="129"/>
      <c r="AQ103" s="128"/>
      <c r="AR103" s="138" t="str">
        <f t="shared" si="61"/>
        <v>ABS</v>
      </c>
      <c r="AS103" s="128"/>
      <c r="AT103" s="135" t="str">
        <f t="shared" si="62"/>
        <v>ABS</v>
      </c>
      <c r="AU103" s="193" t="str">
        <f t="shared" si="63"/>
        <v>ABS</v>
      </c>
      <c r="AV103" s="154" t="str">
        <f t="shared" si="64"/>
        <v>ABS</v>
      </c>
      <c r="AW103" s="144"/>
      <c r="AX103" s="129"/>
      <c r="AY103" s="128"/>
      <c r="AZ103" s="135" t="str">
        <f t="shared" si="65"/>
        <v>ABS</v>
      </c>
      <c r="BA103" s="128"/>
      <c r="BB103" s="135" t="str">
        <f t="shared" si="66"/>
        <v>ABS</v>
      </c>
      <c r="BC103" s="193" t="str">
        <f t="shared" si="67"/>
        <v>ABS</v>
      </c>
      <c r="BD103" s="188" t="str">
        <f t="shared" si="68"/>
        <v>ABS</v>
      </c>
    </row>
    <row r="104" spans="2:56" ht="15.5">
      <c r="B104" s="191">
        <v>100</v>
      </c>
      <c r="C104" s="124"/>
      <c r="D104" s="147"/>
      <c r="E104" s="126"/>
      <c r="F104" s="116"/>
      <c r="G104" s="134" t="s">
        <v>23</v>
      </c>
      <c r="H104" s="128">
        <v>30</v>
      </c>
      <c r="I104" s="138" t="str">
        <f t="shared" si="41"/>
        <v>2.0</v>
      </c>
      <c r="J104" s="128"/>
      <c r="K104" s="135" t="str">
        <f t="shared" si="42"/>
        <v>ABS</v>
      </c>
      <c r="L104" s="192" t="str">
        <f t="shared" si="43"/>
        <v>NG</v>
      </c>
      <c r="M104" s="154" t="str">
        <f t="shared" si="44"/>
        <v>NG</v>
      </c>
      <c r="N104" s="134" t="s">
        <v>30</v>
      </c>
      <c r="O104" s="128"/>
      <c r="P104" s="138" t="str">
        <f t="shared" si="45"/>
        <v>ABS</v>
      </c>
      <c r="Q104" s="128"/>
      <c r="R104" s="135" t="str">
        <f t="shared" si="46"/>
        <v>ABS</v>
      </c>
      <c r="S104" s="193" t="str">
        <f t="shared" si="47"/>
        <v>ABS</v>
      </c>
      <c r="T104" s="154" t="str">
        <f t="shared" si="48"/>
        <v>ABS</v>
      </c>
      <c r="U104" s="137" t="s">
        <v>32</v>
      </c>
      <c r="V104" s="128">
        <v>56</v>
      </c>
      <c r="W104" s="138" t="str">
        <f t="shared" si="49"/>
        <v>3.2</v>
      </c>
      <c r="X104" s="128">
        <v>23</v>
      </c>
      <c r="Y104" s="135" t="str">
        <f t="shared" si="50"/>
        <v>4.0</v>
      </c>
      <c r="Z104" s="193">
        <f t="shared" si="51"/>
        <v>3.4</v>
      </c>
      <c r="AA104" s="154" t="str">
        <f t="shared" si="52"/>
        <v>A</v>
      </c>
      <c r="AB104" s="119"/>
      <c r="AC104" s="128"/>
      <c r="AD104" s="138" t="str">
        <f t="shared" si="53"/>
        <v>ABS</v>
      </c>
      <c r="AE104" s="128"/>
      <c r="AF104" s="135" t="str">
        <f t="shared" si="54"/>
        <v>ABS</v>
      </c>
      <c r="AG104" s="193" t="str">
        <f t="shared" si="55"/>
        <v>ABS</v>
      </c>
      <c r="AH104" s="154" t="str">
        <f t="shared" si="56"/>
        <v>ABS</v>
      </c>
      <c r="AI104" s="129"/>
      <c r="AJ104" s="128"/>
      <c r="AK104" s="138" t="str">
        <f t="shared" si="57"/>
        <v>ABS</v>
      </c>
      <c r="AL104" s="128"/>
      <c r="AM104" s="135" t="str">
        <f t="shared" si="58"/>
        <v>ABS</v>
      </c>
      <c r="AN104" s="193" t="str">
        <f t="shared" si="59"/>
        <v>ABS</v>
      </c>
      <c r="AO104" s="154" t="str">
        <f t="shared" si="60"/>
        <v>ABS</v>
      </c>
      <c r="AP104" s="129"/>
      <c r="AQ104" s="128"/>
      <c r="AR104" s="138" t="str">
        <f t="shared" si="61"/>
        <v>ABS</v>
      </c>
      <c r="AS104" s="128"/>
      <c r="AT104" s="135" t="str">
        <f t="shared" si="62"/>
        <v>ABS</v>
      </c>
      <c r="AU104" s="193" t="str">
        <f t="shared" si="63"/>
        <v>ABS</v>
      </c>
      <c r="AV104" s="154" t="str">
        <f t="shared" si="64"/>
        <v>ABS</v>
      </c>
      <c r="AW104" s="144"/>
      <c r="AX104" s="129"/>
      <c r="AY104" s="128"/>
      <c r="AZ104" s="135" t="str">
        <f t="shared" si="65"/>
        <v>ABS</v>
      </c>
      <c r="BA104" s="128"/>
      <c r="BB104" s="135" t="str">
        <f t="shared" si="66"/>
        <v>ABS</v>
      </c>
      <c r="BC104" s="193" t="str">
        <f t="shared" si="67"/>
        <v>ABS</v>
      </c>
      <c r="BD104" s="188" t="str">
        <f t="shared" si="68"/>
        <v>ABS</v>
      </c>
    </row>
    <row r="105" spans="2:56" ht="15.5">
      <c r="B105" s="191">
        <v>101</v>
      </c>
      <c r="C105" s="124"/>
      <c r="D105" s="147"/>
      <c r="E105" s="126"/>
      <c r="F105" s="116"/>
      <c r="G105" s="134" t="s">
        <v>23</v>
      </c>
      <c r="H105" s="128"/>
      <c r="I105" s="138" t="str">
        <f t="shared" si="41"/>
        <v>ABS</v>
      </c>
      <c r="J105" s="128"/>
      <c r="K105" s="135" t="str">
        <f t="shared" si="42"/>
        <v>ABS</v>
      </c>
      <c r="L105" s="192" t="str">
        <f t="shared" si="43"/>
        <v>ABS</v>
      </c>
      <c r="M105" s="154" t="str">
        <f t="shared" si="44"/>
        <v>ABS</v>
      </c>
      <c r="N105" s="134" t="s">
        <v>30</v>
      </c>
      <c r="O105" s="128"/>
      <c r="P105" s="138" t="str">
        <f t="shared" si="45"/>
        <v>ABS</v>
      </c>
      <c r="Q105" s="128"/>
      <c r="R105" s="135" t="str">
        <f t="shared" si="46"/>
        <v>ABS</v>
      </c>
      <c r="S105" s="193" t="str">
        <f t="shared" si="47"/>
        <v>ABS</v>
      </c>
      <c r="T105" s="154" t="str">
        <f t="shared" si="48"/>
        <v>ABS</v>
      </c>
      <c r="U105" s="137" t="s">
        <v>32</v>
      </c>
      <c r="V105" s="128">
        <v>45</v>
      </c>
      <c r="W105" s="138" t="str">
        <f t="shared" si="49"/>
        <v>2.8</v>
      </c>
      <c r="X105" s="128"/>
      <c r="Y105" s="135" t="str">
        <f t="shared" si="50"/>
        <v>ABS</v>
      </c>
      <c r="Z105" s="193" t="str">
        <f t="shared" si="51"/>
        <v>NG</v>
      </c>
      <c r="AA105" s="154" t="str">
        <f t="shared" si="52"/>
        <v>NG</v>
      </c>
      <c r="AB105" s="119"/>
      <c r="AC105" s="128"/>
      <c r="AD105" s="138" t="str">
        <f t="shared" si="53"/>
        <v>ABS</v>
      </c>
      <c r="AE105" s="128"/>
      <c r="AF105" s="135" t="str">
        <f t="shared" si="54"/>
        <v>ABS</v>
      </c>
      <c r="AG105" s="193" t="str">
        <f t="shared" si="55"/>
        <v>ABS</v>
      </c>
      <c r="AH105" s="154" t="str">
        <f t="shared" si="56"/>
        <v>ABS</v>
      </c>
      <c r="AI105" s="129"/>
      <c r="AJ105" s="128"/>
      <c r="AK105" s="138" t="str">
        <f t="shared" si="57"/>
        <v>ABS</v>
      </c>
      <c r="AL105" s="128"/>
      <c r="AM105" s="135" t="str">
        <f t="shared" si="58"/>
        <v>ABS</v>
      </c>
      <c r="AN105" s="193" t="str">
        <f t="shared" si="59"/>
        <v>ABS</v>
      </c>
      <c r="AO105" s="154" t="str">
        <f t="shared" si="60"/>
        <v>ABS</v>
      </c>
      <c r="AP105" s="129"/>
      <c r="AQ105" s="128"/>
      <c r="AR105" s="138" t="str">
        <f t="shared" si="61"/>
        <v>ABS</v>
      </c>
      <c r="AS105" s="128"/>
      <c r="AT105" s="135" t="str">
        <f t="shared" si="62"/>
        <v>ABS</v>
      </c>
      <c r="AU105" s="193" t="str">
        <f t="shared" si="63"/>
        <v>ABS</v>
      </c>
      <c r="AV105" s="154" t="str">
        <f t="shared" si="64"/>
        <v>ABS</v>
      </c>
      <c r="AW105" s="144"/>
      <c r="AX105" s="129"/>
      <c r="AY105" s="128"/>
      <c r="AZ105" s="135" t="str">
        <f t="shared" si="65"/>
        <v>ABS</v>
      </c>
      <c r="BA105" s="128"/>
      <c r="BB105" s="135" t="str">
        <f t="shared" si="66"/>
        <v>ABS</v>
      </c>
      <c r="BC105" s="193" t="str">
        <f t="shared" si="67"/>
        <v>ABS</v>
      </c>
      <c r="BD105" s="188" t="str">
        <f t="shared" si="68"/>
        <v>ABS</v>
      </c>
    </row>
    <row r="106" spans="2:56" ht="15.5">
      <c r="B106" s="191">
        <v>102</v>
      </c>
      <c r="C106" s="124"/>
      <c r="D106" s="147"/>
      <c r="E106" s="126"/>
      <c r="F106" s="116"/>
      <c r="G106" s="134" t="s">
        <v>23</v>
      </c>
      <c r="H106" s="128"/>
      <c r="I106" s="138" t="str">
        <f t="shared" si="41"/>
        <v>ABS</v>
      </c>
      <c r="J106" s="128"/>
      <c r="K106" s="135" t="str">
        <f t="shared" si="42"/>
        <v>ABS</v>
      </c>
      <c r="L106" s="192" t="str">
        <f t="shared" si="43"/>
        <v>ABS</v>
      </c>
      <c r="M106" s="154" t="str">
        <f t="shared" si="44"/>
        <v>ABS</v>
      </c>
      <c r="N106" s="134" t="s">
        <v>30</v>
      </c>
      <c r="O106" s="128"/>
      <c r="P106" s="138" t="str">
        <f t="shared" si="45"/>
        <v>ABS</v>
      </c>
      <c r="Q106" s="128"/>
      <c r="R106" s="135" t="str">
        <f t="shared" si="46"/>
        <v>ABS</v>
      </c>
      <c r="S106" s="193" t="str">
        <f t="shared" si="47"/>
        <v>ABS</v>
      </c>
      <c r="T106" s="154" t="str">
        <f t="shared" si="48"/>
        <v>ABS</v>
      </c>
      <c r="U106" s="137" t="s">
        <v>32</v>
      </c>
      <c r="V106" s="128"/>
      <c r="W106" s="138" t="str">
        <f t="shared" si="49"/>
        <v>ABS</v>
      </c>
      <c r="X106" s="128"/>
      <c r="Y106" s="135" t="str">
        <f t="shared" si="50"/>
        <v>ABS</v>
      </c>
      <c r="Z106" s="193" t="str">
        <f t="shared" si="51"/>
        <v>ABS</v>
      </c>
      <c r="AA106" s="154" t="str">
        <f t="shared" si="52"/>
        <v>ABS</v>
      </c>
      <c r="AB106" s="119"/>
      <c r="AC106" s="128"/>
      <c r="AD106" s="138" t="str">
        <f t="shared" si="53"/>
        <v>ABS</v>
      </c>
      <c r="AE106" s="128"/>
      <c r="AF106" s="135" t="str">
        <f t="shared" si="54"/>
        <v>ABS</v>
      </c>
      <c r="AG106" s="193" t="str">
        <f t="shared" si="55"/>
        <v>ABS</v>
      </c>
      <c r="AH106" s="154" t="str">
        <f t="shared" si="56"/>
        <v>ABS</v>
      </c>
      <c r="AI106" s="129"/>
      <c r="AJ106" s="128"/>
      <c r="AK106" s="138" t="str">
        <f t="shared" si="57"/>
        <v>ABS</v>
      </c>
      <c r="AL106" s="128"/>
      <c r="AM106" s="135" t="str">
        <f t="shared" si="58"/>
        <v>ABS</v>
      </c>
      <c r="AN106" s="193" t="str">
        <f t="shared" si="59"/>
        <v>ABS</v>
      </c>
      <c r="AO106" s="154" t="str">
        <f t="shared" si="60"/>
        <v>ABS</v>
      </c>
      <c r="AP106" s="129"/>
      <c r="AQ106" s="128"/>
      <c r="AR106" s="138" t="str">
        <f t="shared" si="61"/>
        <v>ABS</v>
      </c>
      <c r="AS106" s="128"/>
      <c r="AT106" s="135" t="str">
        <f t="shared" si="62"/>
        <v>ABS</v>
      </c>
      <c r="AU106" s="193" t="str">
        <f t="shared" si="63"/>
        <v>ABS</v>
      </c>
      <c r="AV106" s="154" t="str">
        <f t="shared" si="64"/>
        <v>ABS</v>
      </c>
      <c r="AW106" s="144"/>
      <c r="AX106" s="129"/>
      <c r="AY106" s="128"/>
      <c r="AZ106" s="135" t="str">
        <f t="shared" si="65"/>
        <v>ABS</v>
      </c>
      <c r="BA106" s="128"/>
      <c r="BB106" s="135" t="str">
        <f t="shared" si="66"/>
        <v>ABS</v>
      </c>
      <c r="BC106" s="193" t="str">
        <f t="shared" si="67"/>
        <v>ABS</v>
      </c>
      <c r="BD106" s="188" t="str">
        <f t="shared" si="68"/>
        <v>ABS</v>
      </c>
    </row>
    <row r="107" spans="2:56" ht="15.5">
      <c r="B107" s="191">
        <v>103</v>
      </c>
      <c r="C107" s="124"/>
      <c r="D107" s="147"/>
      <c r="E107" s="126"/>
      <c r="F107" s="116"/>
      <c r="G107" s="134" t="s">
        <v>23</v>
      </c>
      <c r="H107" s="128"/>
      <c r="I107" s="138" t="str">
        <f t="shared" si="41"/>
        <v>ABS</v>
      </c>
      <c r="J107" s="128"/>
      <c r="K107" s="135" t="str">
        <f t="shared" si="42"/>
        <v>ABS</v>
      </c>
      <c r="L107" s="192" t="str">
        <f t="shared" si="43"/>
        <v>ABS</v>
      </c>
      <c r="M107" s="154" t="str">
        <f t="shared" si="44"/>
        <v>ABS</v>
      </c>
      <c r="N107" s="134" t="s">
        <v>30</v>
      </c>
      <c r="O107" s="128"/>
      <c r="P107" s="138" t="str">
        <f t="shared" si="45"/>
        <v>ABS</v>
      </c>
      <c r="Q107" s="128"/>
      <c r="R107" s="135" t="str">
        <f t="shared" si="46"/>
        <v>ABS</v>
      </c>
      <c r="S107" s="193" t="str">
        <f t="shared" si="47"/>
        <v>ABS</v>
      </c>
      <c r="T107" s="154" t="str">
        <f t="shared" si="48"/>
        <v>ABS</v>
      </c>
      <c r="U107" s="137" t="s">
        <v>32</v>
      </c>
      <c r="V107" s="128"/>
      <c r="W107" s="138" t="str">
        <f t="shared" si="49"/>
        <v>ABS</v>
      </c>
      <c r="X107" s="128"/>
      <c r="Y107" s="135" t="str">
        <f t="shared" si="50"/>
        <v>ABS</v>
      </c>
      <c r="Z107" s="193" t="str">
        <f t="shared" si="51"/>
        <v>ABS</v>
      </c>
      <c r="AA107" s="154" t="str">
        <f t="shared" si="52"/>
        <v>ABS</v>
      </c>
      <c r="AB107" s="119"/>
      <c r="AC107" s="128"/>
      <c r="AD107" s="138" t="str">
        <f t="shared" si="53"/>
        <v>ABS</v>
      </c>
      <c r="AE107" s="128"/>
      <c r="AF107" s="135" t="str">
        <f t="shared" si="54"/>
        <v>ABS</v>
      </c>
      <c r="AG107" s="193" t="str">
        <f t="shared" si="55"/>
        <v>ABS</v>
      </c>
      <c r="AH107" s="154" t="str">
        <f t="shared" si="56"/>
        <v>ABS</v>
      </c>
      <c r="AI107" s="129"/>
      <c r="AJ107" s="128"/>
      <c r="AK107" s="138" t="str">
        <f t="shared" si="57"/>
        <v>ABS</v>
      </c>
      <c r="AL107" s="128"/>
      <c r="AM107" s="135" t="str">
        <f t="shared" si="58"/>
        <v>ABS</v>
      </c>
      <c r="AN107" s="193" t="str">
        <f t="shared" si="59"/>
        <v>ABS</v>
      </c>
      <c r="AO107" s="154" t="str">
        <f t="shared" si="60"/>
        <v>ABS</v>
      </c>
      <c r="AP107" s="129"/>
      <c r="AQ107" s="128"/>
      <c r="AR107" s="138" t="str">
        <f t="shared" si="61"/>
        <v>ABS</v>
      </c>
      <c r="AS107" s="128"/>
      <c r="AT107" s="135" t="str">
        <f t="shared" si="62"/>
        <v>ABS</v>
      </c>
      <c r="AU107" s="193" t="str">
        <f t="shared" si="63"/>
        <v>ABS</v>
      </c>
      <c r="AV107" s="154" t="str">
        <f t="shared" si="64"/>
        <v>ABS</v>
      </c>
      <c r="AW107" s="144"/>
      <c r="AX107" s="129"/>
      <c r="AY107" s="128"/>
      <c r="AZ107" s="135" t="str">
        <f t="shared" si="65"/>
        <v>ABS</v>
      </c>
      <c r="BA107" s="128"/>
      <c r="BB107" s="135" t="str">
        <f t="shared" si="66"/>
        <v>ABS</v>
      </c>
      <c r="BC107" s="193" t="str">
        <f t="shared" si="67"/>
        <v>ABS</v>
      </c>
      <c r="BD107" s="188" t="str">
        <f t="shared" si="68"/>
        <v>ABS</v>
      </c>
    </row>
    <row r="108" spans="2:56" ht="15.5">
      <c r="B108" s="191">
        <v>104</v>
      </c>
      <c r="C108" s="124"/>
      <c r="D108" s="147"/>
      <c r="E108" s="126"/>
      <c r="F108" s="116"/>
      <c r="G108" s="134" t="s">
        <v>23</v>
      </c>
      <c r="H108" s="128"/>
      <c r="I108" s="138" t="str">
        <f t="shared" si="41"/>
        <v>ABS</v>
      </c>
      <c r="J108" s="128"/>
      <c r="K108" s="135" t="str">
        <f t="shared" si="42"/>
        <v>ABS</v>
      </c>
      <c r="L108" s="192" t="str">
        <f t="shared" si="43"/>
        <v>ABS</v>
      </c>
      <c r="M108" s="154" t="str">
        <f t="shared" si="44"/>
        <v>ABS</v>
      </c>
      <c r="N108" s="134" t="s">
        <v>30</v>
      </c>
      <c r="O108" s="128"/>
      <c r="P108" s="138" t="str">
        <f t="shared" si="45"/>
        <v>ABS</v>
      </c>
      <c r="Q108" s="128"/>
      <c r="R108" s="135" t="str">
        <f t="shared" si="46"/>
        <v>ABS</v>
      </c>
      <c r="S108" s="193" t="str">
        <f t="shared" si="47"/>
        <v>ABS</v>
      </c>
      <c r="T108" s="154" t="str">
        <f t="shared" si="48"/>
        <v>ABS</v>
      </c>
      <c r="U108" s="137" t="s">
        <v>32</v>
      </c>
      <c r="V108" s="128"/>
      <c r="W108" s="138" t="str">
        <f t="shared" si="49"/>
        <v>ABS</v>
      </c>
      <c r="X108" s="128"/>
      <c r="Y108" s="135" t="str">
        <f t="shared" si="50"/>
        <v>ABS</v>
      </c>
      <c r="Z108" s="193" t="str">
        <f t="shared" si="51"/>
        <v>ABS</v>
      </c>
      <c r="AA108" s="154" t="str">
        <f t="shared" si="52"/>
        <v>ABS</v>
      </c>
      <c r="AB108" s="119"/>
      <c r="AC108" s="128"/>
      <c r="AD108" s="138" t="str">
        <f t="shared" si="53"/>
        <v>ABS</v>
      </c>
      <c r="AE108" s="128"/>
      <c r="AF108" s="135" t="str">
        <f t="shared" si="54"/>
        <v>ABS</v>
      </c>
      <c r="AG108" s="193" t="str">
        <f t="shared" si="55"/>
        <v>ABS</v>
      </c>
      <c r="AH108" s="154" t="str">
        <f t="shared" si="56"/>
        <v>ABS</v>
      </c>
      <c r="AI108" s="129"/>
      <c r="AJ108" s="128"/>
      <c r="AK108" s="138" t="str">
        <f t="shared" si="57"/>
        <v>ABS</v>
      </c>
      <c r="AL108" s="128"/>
      <c r="AM108" s="135" t="str">
        <f t="shared" si="58"/>
        <v>ABS</v>
      </c>
      <c r="AN108" s="193" t="str">
        <f t="shared" si="59"/>
        <v>ABS</v>
      </c>
      <c r="AO108" s="154" t="str">
        <f t="shared" si="60"/>
        <v>ABS</v>
      </c>
      <c r="AP108" s="129"/>
      <c r="AQ108" s="128"/>
      <c r="AR108" s="138" t="str">
        <f t="shared" si="61"/>
        <v>ABS</v>
      </c>
      <c r="AS108" s="128"/>
      <c r="AT108" s="135" t="str">
        <f t="shared" si="62"/>
        <v>ABS</v>
      </c>
      <c r="AU108" s="193" t="str">
        <f t="shared" si="63"/>
        <v>ABS</v>
      </c>
      <c r="AV108" s="154" t="str">
        <f t="shared" si="64"/>
        <v>ABS</v>
      </c>
      <c r="AW108" s="144"/>
      <c r="AX108" s="129"/>
      <c r="AY108" s="128"/>
      <c r="AZ108" s="135" t="str">
        <f t="shared" si="65"/>
        <v>ABS</v>
      </c>
      <c r="BA108" s="128"/>
      <c r="BB108" s="135" t="str">
        <f t="shared" si="66"/>
        <v>ABS</v>
      </c>
      <c r="BC108" s="193" t="str">
        <f t="shared" si="67"/>
        <v>ABS</v>
      </c>
      <c r="BD108" s="188" t="str">
        <f t="shared" si="68"/>
        <v>ABS</v>
      </c>
    </row>
    <row r="109" spans="2:56" ht="15.5">
      <c r="B109" s="191">
        <v>105</v>
      </c>
      <c r="C109" s="124"/>
      <c r="D109" s="147"/>
      <c r="E109" s="126"/>
      <c r="F109" s="116"/>
      <c r="G109" s="134" t="s">
        <v>23</v>
      </c>
      <c r="H109" s="128"/>
      <c r="I109" s="138" t="str">
        <f t="shared" si="41"/>
        <v>ABS</v>
      </c>
      <c r="J109" s="128"/>
      <c r="K109" s="135" t="str">
        <f t="shared" si="42"/>
        <v>ABS</v>
      </c>
      <c r="L109" s="192" t="str">
        <f t="shared" si="43"/>
        <v>ABS</v>
      </c>
      <c r="M109" s="154" t="str">
        <f t="shared" si="44"/>
        <v>ABS</v>
      </c>
      <c r="N109" s="134" t="s">
        <v>30</v>
      </c>
      <c r="O109" s="128"/>
      <c r="P109" s="138" t="str">
        <f t="shared" si="45"/>
        <v>ABS</v>
      </c>
      <c r="Q109" s="128"/>
      <c r="R109" s="135" t="str">
        <f t="shared" si="46"/>
        <v>ABS</v>
      </c>
      <c r="S109" s="193" t="str">
        <f t="shared" si="47"/>
        <v>ABS</v>
      </c>
      <c r="T109" s="154" t="str">
        <f t="shared" si="48"/>
        <v>ABS</v>
      </c>
      <c r="U109" s="137" t="s">
        <v>32</v>
      </c>
      <c r="V109" s="128"/>
      <c r="W109" s="138" t="str">
        <f t="shared" si="49"/>
        <v>ABS</v>
      </c>
      <c r="X109" s="128"/>
      <c r="Y109" s="135" t="str">
        <f t="shared" si="50"/>
        <v>ABS</v>
      </c>
      <c r="Z109" s="193" t="str">
        <f t="shared" si="51"/>
        <v>ABS</v>
      </c>
      <c r="AA109" s="154" t="str">
        <f t="shared" si="52"/>
        <v>ABS</v>
      </c>
      <c r="AB109" s="119"/>
      <c r="AC109" s="128"/>
      <c r="AD109" s="138" t="str">
        <f t="shared" si="53"/>
        <v>ABS</v>
      </c>
      <c r="AE109" s="128"/>
      <c r="AF109" s="135" t="str">
        <f t="shared" si="54"/>
        <v>ABS</v>
      </c>
      <c r="AG109" s="193" t="str">
        <f t="shared" si="55"/>
        <v>ABS</v>
      </c>
      <c r="AH109" s="154" t="str">
        <f t="shared" si="56"/>
        <v>ABS</v>
      </c>
      <c r="AI109" s="129"/>
      <c r="AJ109" s="128"/>
      <c r="AK109" s="138" t="str">
        <f t="shared" si="57"/>
        <v>ABS</v>
      </c>
      <c r="AL109" s="128"/>
      <c r="AM109" s="135" t="str">
        <f t="shared" si="58"/>
        <v>ABS</v>
      </c>
      <c r="AN109" s="193" t="str">
        <f t="shared" si="59"/>
        <v>ABS</v>
      </c>
      <c r="AO109" s="154" t="str">
        <f t="shared" si="60"/>
        <v>ABS</v>
      </c>
      <c r="AP109" s="129"/>
      <c r="AQ109" s="128"/>
      <c r="AR109" s="138" t="str">
        <f t="shared" si="61"/>
        <v>ABS</v>
      </c>
      <c r="AS109" s="128"/>
      <c r="AT109" s="135" t="str">
        <f t="shared" si="62"/>
        <v>ABS</v>
      </c>
      <c r="AU109" s="193" t="str">
        <f t="shared" si="63"/>
        <v>ABS</v>
      </c>
      <c r="AV109" s="154" t="str">
        <f t="shared" si="64"/>
        <v>ABS</v>
      </c>
      <c r="AW109" s="144"/>
      <c r="AX109" s="129"/>
      <c r="AY109" s="128"/>
      <c r="AZ109" s="135" t="str">
        <f t="shared" si="65"/>
        <v>ABS</v>
      </c>
      <c r="BA109" s="128"/>
      <c r="BB109" s="135" t="str">
        <f t="shared" si="66"/>
        <v>ABS</v>
      </c>
      <c r="BC109" s="193" t="str">
        <f t="shared" si="67"/>
        <v>ABS</v>
      </c>
      <c r="BD109" s="188" t="str">
        <f t="shared" si="68"/>
        <v>ABS</v>
      </c>
    </row>
    <row r="110" spans="2:56" ht="15.5">
      <c r="B110" s="191">
        <v>106</v>
      </c>
      <c r="C110" s="124"/>
      <c r="D110" s="147"/>
      <c r="E110" s="126"/>
      <c r="F110" s="116"/>
      <c r="G110" s="134" t="s">
        <v>23</v>
      </c>
      <c r="H110" s="128"/>
      <c r="I110" s="138" t="str">
        <f t="shared" si="41"/>
        <v>ABS</v>
      </c>
      <c r="J110" s="128"/>
      <c r="K110" s="135" t="str">
        <f t="shared" si="42"/>
        <v>ABS</v>
      </c>
      <c r="L110" s="192" t="str">
        <f t="shared" si="43"/>
        <v>ABS</v>
      </c>
      <c r="M110" s="154" t="str">
        <f t="shared" si="44"/>
        <v>ABS</v>
      </c>
      <c r="N110" s="134" t="s">
        <v>30</v>
      </c>
      <c r="O110" s="128"/>
      <c r="P110" s="138" t="str">
        <f t="shared" si="45"/>
        <v>ABS</v>
      </c>
      <c r="Q110" s="128"/>
      <c r="R110" s="135" t="str">
        <f t="shared" si="46"/>
        <v>ABS</v>
      </c>
      <c r="S110" s="193" t="str">
        <f t="shared" si="47"/>
        <v>ABS</v>
      </c>
      <c r="T110" s="154" t="str">
        <f t="shared" si="48"/>
        <v>ABS</v>
      </c>
      <c r="U110" s="137" t="s">
        <v>32</v>
      </c>
      <c r="V110" s="128"/>
      <c r="W110" s="138" t="str">
        <f t="shared" si="49"/>
        <v>ABS</v>
      </c>
      <c r="X110" s="128"/>
      <c r="Y110" s="135" t="str">
        <f t="shared" si="50"/>
        <v>ABS</v>
      </c>
      <c r="Z110" s="193" t="str">
        <f t="shared" si="51"/>
        <v>ABS</v>
      </c>
      <c r="AA110" s="154" t="str">
        <f t="shared" si="52"/>
        <v>ABS</v>
      </c>
      <c r="AB110" s="119"/>
      <c r="AC110" s="128"/>
      <c r="AD110" s="138" t="str">
        <f t="shared" si="53"/>
        <v>ABS</v>
      </c>
      <c r="AE110" s="128"/>
      <c r="AF110" s="135" t="str">
        <f t="shared" si="54"/>
        <v>ABS</v>
      </c>
      <c r="AG110" s="193" t="str">
        <f t="shared" si="55"/>
        <v>ABS</v>
      </c>
      <c r="AH110" s="154" t="str">
        <f t="shared" si="56"/>
        <v>ABS</v>
      </c>
      <c r="AI110" s="129"/>
      <c r="AJ110" s="128"/>
      <c r="AK110" s="138" t="str">
        <f t="shared" si="57"/>
        <v>ABS</v>
      </c>
      <c r="AL110" s="128"/>
      <c r="AM110" s="135" t="str">
        <f t="shared" si="58"/>
        <v>ABS</v>
      </c>
      <c r="AN110" s="193" t="str">
        <f t="shared" si="59"/>
        <v>ABS</v>
      </c>
      <c r="AO110" s="154" t="str">
        <f t="shared" si="60"/>
        <v>ABS</v>
      </c>
      <c r="AP110" s="129"/>
      <c r="AQ110" s="128"/>
      <c r="AR110" s="138" t="str">
        <f t="shared" si="61"/>
        <v>ABS</v>
      </c>
      <c r="AS110" s="128"/>
      <c r="AT110" s="135" t="str">
        <f t="shared" si="62"/>
        <v>ABS</v>
      </c>
      <c r="AU110" s="193" t="str">
        <f t="shared" si="63"/>
        <v>ABS</v>
      </c>
      <c r="AV110" s="154" t="str">
        <f t="shared" si="64"/>
        <v>ABS</v>
      </c>
      <c r="AW110" s="144"/>
      <c r="AX110" s="129"/>
      <c r="AY110" s="128"/>
      <c r="AZ110" s="135" t="str">
        <f t="shared" si="65"/>
        <v>ABS</v>
      </c>
      <c r="BA110" s="128"/>
      <c r="BB110" s="135" t="str">
        <f t="shared" si="66"/>
        <v>ABS</v>
      </c>
      <c r="BC110" s="193" t="str">
        <f t="shared" si="67"/>
        <v>ABS</v>
      </c>
      <c r="BD110" s="188" t="str">
        <f t="shared" si="68"/>
        <v>ABS</v>
      </c>
    </row>
    <row r="111" spans="2:56" ht="15.5">
      <c r="B111" s="191">
        <v>107</v>
      </c>
      <c r="C111" s="124"/>
      <c r="D111" s="147"/>
      <c r="E111" s="126"/>
      <c r="F111" s="116"/>
      <c r="G111" s="134" t="s">
        <v>23</v>
      </c>
      <c r="H111" s="128"/>
      <c r="I111" s="138" t="str">
        <f t="shared" si="41"/>
        <v>ABS</v>
      </c>
      <c r="J111" s="128"/>
      <c r="K111" s="135" t="str">
        <f t="shared" si="42"/>
        <v>ABS</v>
      </c>
      <c r="L111" s="192" t="str">
        <f t="shared" si="43"/>
        <v>ABS</v>
      </c>
      <c r="M111" s="154" t="str">
        <f t="shared" si="44"/>
        <v>ABS</v>
      </c>
      <c r="N111" s="134" t="s">
        <v>30</v>
      </c>
      <c r="O111" s="128"/>
      <c r="P111" s="138" t="str">
        <f t="shared" si="45"/>
        <v>ABS</v>
      </c>
      <c r="Q111" s="128"/>
      <c r="R111" s="135" t="str">
        <f t="shared" si="46"/>
        <v>ABS</v>
      </c>
      <c r="S111" s="193" t="str">
        <f t="shared" si="47"/>
        <v>ABS</v>
      </c>
      <c r="T111" s="154" t="str">
        <f t="shared" si="48"/>
        <v>ABS</v>
      </c>
      <c r="U111" s="137" t="s">
        <v>32</v>
      </c>
      <c r="V111" s="128"/>
      <c r="W111" s="138" t="str">
        <f t="shared" si="49"/>
        <v>ABS</v>
      </c>
      <c r="X111" s="128"/>
      <c r="Y111" s="135" t="str">
        <f t="shared" si="50"/>
        <v>ABS</v>
      </c>
      <c r="Z111" s="193" t="str">
        <f t="shared" si="51"/>
        <v>ABS</v>
      </c>
      <c r="AA111" s="154" t="str">
        <f t="shared" si="52"/>
        <v>ABS</v>
      </c>
      <c r="AB111" s="119"/>
      <c r="AC111" s="128"/>
      <c r="AD111" s="138" t="str">
        <f t="shared" si="53"/>
        <v>ABS</v>
      </c>
      <c r="AE111" s="128"/>
      <c r="AF111" s="135" t="str">
        <f t="shared" si="54"/>
        <v>ABS</v>
      </c>
      <c r="AG111" s="193" t="str">
        <f t="shared" si="55"/>
        <v>ABS</v>
      </c>
      <c r="AH111" s="154" t="str">
        <f t="shared" si="56"/>
        <v>ABS</v>
      </c>
      <c r="AI111" s="129"/>
      <c r="AJ111" s="128"/>
      <c r="AK111" s="138" t="str">
        <f t="shared" si="57"/>
        <v>ABS</v>
      </c>
      <c r="AL111" s="128"/>
      <c r="AM111" s="135" t="str">
        <f t="shared" si="58"/>
        <v>ABS</v>
      </c>
      <c r="AN111" s="193" t="str">
        <f t="shared" si="59"/>
        <v>ABS</v>
      </c>
      <c r="AO111" s="154" t="str">
        <f t="shared" si="60"/>
        <v>ABS</v>
      </c>
      <c r="AP111" s="129"/>
      <c r="AQ111" s="128"/>
      <c r="AR111" s="138" t="str">
        <f t="shared" si="61"/>
        <v>ABS</v>
      </c>
      <c r="AS111" s="128"/>
      <c r="AT111" s="135" t="str">
        <f t="shared" si="62"/>
        <v>ABS</v>
      </c>
      <c r="AU111" s="193" t="str">
        <f t="shared" si="63"/>
        <v>ABS</v>
      </c>
      <c r="AV111" s="154" t="str">
        <f t="shared" si="64"/>
        <v>ABS</v>
      </c>
      <c r="AW111" s="144"/>
      <c r="AX111" s="129"/>
      <c r="AY111" s="128"/>
      <c r="AZ111" s="135" t="str">
        <f t="shared" si="65"/>
        <v>ABS</v>
      </c>
      <c r="BA111" s="128"/>
      <c r="BB111" s="135" t="str">
        <f t="shared" si="66"/>
        <v>ABS</v>
      </c>
      <c r="BC111" s="193" t="str">
        <f t="shared" si="67"/>
        <v>ABS</v>
      </c>
      <c r="BD111" s="188" t="str">
        <f t="shared" si="68"/>
        <v>ABS</v>
      </c>
    </row>
    <row r="112" spans="2:56" ht="15.5">
      <c r="B112" s="191">
        <v>108</v>
      </c>
      <c r="C112" s="124"/>
      <c r="D112" s="147"/>
      <c r="E112" s="126"/>
      <c r="F112" s="116"/>
      <c r="G112" s="134" t="s">
        <v>23</v>
      </c>
      <c r="H112" s="128"/>
      <c r="I112" s="138" t="str">
        <f t="shared" si="41"/>
        <v>ABS</v>
      </c>
      <c r="J112" s="128"/>
      <c r="K112" s="135" t="str">
        <f t="shared" si="42"/>
        <v>ABS</v>
      </c>
      <c r="L112" s="192" t="str">
        <f t="shared" si="43"/>
        <v>ABS</v>
      </c>
      <c r="M112" s="154" t="str">
        <f t="shared" si="44"/>
        <v>ABS</v>
      </c>
      <c r="N112" s="134" t="s">
        <v>30</v>
      </c>
      <c r="O112" s="128"/>
      <c r="P112" s="138" t="str">
        <f t="shared" si="45"/>
        <v>ABS</v>
      </c>
      <c r="Q112" s="128"/>
      <c r="R112" s="135" t="str">
        <f t="shared" si="46"/>
        <v>ABS</v>
      </c>
      <c r="S112" s="193" t="str">
        <f t="shared" si="47"/>
        <v>ABS</v>
      </c>
      <c r="T112" s="154" t="str">
        <f t="shared" si="48"/>
        <v>ABS</v>
      </c>
      <c r="U112" s="137" t="s">
        <v>32</v>
      </c>
      <c r="V112" s="128"/>
      <c r="W112" s="138" t="str">
        <f t="shared" si="49"/>
        <v>ABS</v>
      </c>
      <c r="X112" s="128"/>
      <c r="Y112" s="135" t="str">
        <f t="shared" si="50"/>
        <v>ABS</v>
      </c>
      <c r="Z112" s="193" t="str">
        <f t="shared" si="51"/>
        <v>ABS</v>
      </c>
      <c r="AA112" s="154" t="str">
        <f t="shared" si="52"/>
        <v>ABS</v>
      </c>
      <c r="AB112" s="119"/>
      <c r="AC112" s="128"/>
      <c r="AD112" s="138" t="str">
        <f t="shared" si="53"/>
        <v>ABS</v>
      </c>
      <c r="AE112" s="128"/>
      <c r="AF112" s="135" t="str">
        <f t="shared" si="54"/>
        <v>ABS</v>
      </c>
      <c r="AG112" s="193" t="str">
        <f t="shared" si="55"/>
        <v>ABS</v>
      </c>
      <c r="AH112" s="154" t="str">
        <f t="shared" si="56"/>
        <v>ABS</v>
      </c>
      <c r="AI112" s="129"/>
      <c r="AJ112" s="128"/>
      <c r="AK112" s="138" t="str">
        <f t="shared" si="57"/>
        <v>ABS</v>
      </c>
      <c r="AL112" s="128"/>
      <c r="AM112" s="135" t="str">
        <f t="shared" si="58"/>
        <v>ABS</v>
      </c>
      <c r="AN112" s="193" t="str">
        <f t="shared" si="59"/>
        <v>ABS</v>
      </c>
      <c r="AO112" s="154" t="str">
        <f t="shared" si="60"/>
        <v>ABS</v>
      </c>
      <c r="AP112" s="129"/>
      <c r="AQ112" s="128"/>
      <c r="AR112" s="138" t="str">
        <f t="shared" si="61"/>
        <v>ABS</v>
      </c>
      <c r="AS112" s="128"/>
      <c r="AT112" s="135" t="str">
        <f t="shared" si="62"/>
        <v>ABS</v>
      </c>
      <c r="AU112" s="193" t="str">
        <f t="shared" si="63"/>
        <v>ABS</v>
      </c>
      <c r="AV112" s="154" t="str">
        <f t="shared" si="64"/>
        <v>ABS</v>
      </c>
      <c r="AW112" s="144"/>
      <c r="AX112" s="129"/>
      <c r="AY112" s="128"/>
      <c r="AZ112" s="135" t="str">
        <f t="shared" si="65"/>
        <v>ABS</v>
      </c>
      <c r="BA112" s="128"/>
      <c r="BB112" s="135" t="str">
        <f t="shared" si="66"/>
        <v>ABS</v>
      </c>
      <c r="BC112" s="193" t="str">
        <f t="shared" si="67"/>
        <v>ABS</v>
      </c>
      <c r="BD112" s="188" t="str">
        <f t="shared" si="68"/>
        <v>ABS</v>
      </c>
    </row>
    <row r="113" spans="2:56" ht="15.5">
      <c r="B113" s="191">
        <v>109</v>
      </c>
      <c r="C113" s="124"/>
      <c r="D113" s="147"/>
      <c r="E113" s="126"/>
      <c r="F113" s="116"/>
      <c r="G113" s="134" t="s">
        <v>23</v>
      </c>
      <c r="H113" s="128"/>
      <c r="I113" s="138" t="str">
        <f t="shared" si="41"/>
        <v>ABS</v>
      </c>
      <c r="J113" s="128"/>
      <c r="K113" s="135" t="str">
        <f t="shared" si="42"/>
        <v>ABS</v>
      </c>
      <c r="L113" s="192" t="str">
        <f t="shared" si="43"/>
        <v>ABS</v>
      </c>
      <c r="M113" s="154" t="str">
        <f t="shared" si="44"/>
        <v>ABS</v>
      </c>
      <c r="N113" s="134" t="s">
        <v>30</v>
      </c>
      <c r="O113" s="128"/>
      <c r="P113" s="138" t="str">
        <f t="shared" si="45"/>
        <v>ABS</v>
      </c>
      <c r="Q113" s="128"/>
      <c r="R113" s="135" t="str">
        <f t="shared" si="46"/>
        <v>ABS</v>
      </c>
      <c r="S113" s="193" t="str">
        <f t="shared" si="47"/>
        <v>ABS</v>
      </c>
      <c r="T113" s="154" t="str">
        <f t="shared" si="48"/>
        <v>ABS</v>
      </c>
      <c r="U113" s="137" t="s">
        <v>32</v>
      </c>
      <c r="V113" s="128"/>
      <c r="W113" s="138" t="str">
        <f t="shared" si="49"/>
        <v>ABS</v>
      </c>
      <c r="X113" s="128"/>
      <c r="Y113" s="135" t="str">
        <f t="shared" si="50"/>
        <v>ABS</v>
      </c>
      <c r="Z113" s="193" t="str">
        <f t="shared" si="51"/>
        <v>ABS</v>
      </c>
      <c r="AA113" s="154" t="str">
        <f t="shared" si="52"/>
        <v>ABS</v>
      </c>
      <c r="AB113" s="119"/>
      <c r="AC113" s="128"/>
      <c r="AD113" s="138" t="str">
        <f t="shared" si="53"/>
        <v>ABS</v>
      </c>
      <c r="AE113" s="128"/>
      <c r="AF113" s="135" t="str">
        <f t="shared" si="54"/>
        <v>ABS</v>
      </c>
      <c r="AG113" s="193" t="str">
        <f t="shared" si="55"/>
        <v>ABS</v>
      </c>
      <c r="AH113" s="154" t="str">
        <f t="shared" si="56"/>
        <v>ABS</v>
      </c>
      <c r="AI113" s="129"/>
      <c r="AJ113" s="128"/>
      <c r="AK113" s="138" t="str">
        <f t="shared" si="57"/>
        <v>ABS</v>
      </c>
      <c r="AL113" s="128"/>
      <c r="AM113" s="135" t="str">
        <f t="shared" si="58"/>
        <v>ABS</v>
      </c>
      <c r="AN113" s="193" t="str">
        <f t="shared" si="59"/>
        <v>ABS</v>
      </c>
      <c r="AO113" s="154" t="str">
        <f t="shared" si="60"/>
        <v>ABS</v>
      </c>
      <c r="AP113" s="129"/>
      <c r="AQ113" s="128"/>
      <c r="AR113" s="138" t="str">
        <f t="shared" si="61"/>
        <v>ABS</v>
      </c>
      <c r="AS113" s="128"/>
      <c r="AT113" s="135" t="str">
        <f t="shared" si="62"/>
        <v>ABS</v>
      </c>
      <c r="AU113" s="193" t="str">
        <f t="shared" si="63"/>
        <v>ABS</v>
      </c>
      <c r="AV113" s="154" t="str">
        <f t="shared" si="64"/>
        <v>ABS</v>
      </c>
      <c r="AW113" s="144"/>
      <c r="AX113" s="129"/>
      <c r="AY113" s="128"/>
      <c r="AZ113" s="135" t="str">
        <f t="shared" si="65"/>
        <v>ABS</v>
      </c>
      <c r="BA113" s="128"/>
      <c r="BB113" s="135" t="str">
        <f t="shared" si="66"/>
        <v>ABS</v>
      </c>
      <c r="BC113" s="193" t="str">
        <f t="shared" si="67"/>
        <v>ABS</v>
      </c>
      <c r="BD113" s="188" t="str">
        <f t="shared" si="68"/>
        <v>ABS</v>
      </c>
    </row>
    <row r="114" spans="2:56" ht="15.5">
      <c r="B114" s="191">
        <v>110</v>
      </c>
      <c r="C114" s="124"/>
      <c r="D114" s="147"/>
      <c r="E114" s="126"/>
      <c r="F114" s="116"/>
      <c r="G114" s="134" t="s">
        <v>23</v>
      </c>
      <c r="H114" s="133"/>
      <c r="I114" s="138" t="str">
        <f t="shared" si="41"/>
        <v>ABS</v>
      </c>
      <c r="J114" s="128"/>
      <c r="K114" s="135" t="str">
        <f t="shared" si="42"/>
        <v>ABS</v>
      </c>
      <c r="L114" s="192" t="str">
        <f t="shared" si="43"/>
        <v>ABS</v>
      </c>
      <c r="M114" s="154" t="str">
        <f t="shared" si="44"/>
        <v>ABS</v>
      </c>
      <c r="N114" s="134" t="s">
        <v>30</v>
      </c>
      <c r="O114" s="128"/>
      <c r="P114" s="138" t="str">
        <f t="shared" si="45"/>
        <v>ABS</v>
      </c>
      <c r="Q114" s="128"/>
      <c r="R114" s="135" t="str">
        <f t="shared" si="46"/>
        <v>ABS</v>
      </c>
      <c r="S114" s="193" t="str">
        <f t="shared" si="47"/>
        <v>ABS</v>
      </c>
      <c r="T114" s="154" t="str">
        <f t="shared" si="48"/>
        <v>ABS</v>
      </c>
      <c r="U114" s="137" t="s">
        <v>32</v>
      </c>
      <c r="V114" s="128"/>
      <c r="W114" s="138" t="str">
        <f t="shared" si="49"/>
        <v>ABS</v>
      </c>
      <c r="X114" s="128"/>
      <c r="Y114" s="135" t="str">
        <f t="shared" si="50"/>
        <v>ABS</v>
      </c>
      <c r="Z114" s="193" t="str">
        <f t="shared" si="51"/>
        <v>ABS</v>
      </c>
      <c r="AA114" s="154" t="str">
        <f t="shared" si="52"/>
        <v>ABS</v>
      </c>
      <c r="AB114" s="119"/>
      <c r="AC114" s="128"/>
      <c r="AD114" s="138" t="str">
        <f t="shared" si="53"/>
        <v>ABS</v>
      </c>
      <c r="AE114" s="128"/>
      <c r="AF114" s="135" t="str">
        <f t="shared" si="54"/>
        <v>ABS</v>
      </c>
      <c r="AG114" s="193" t="str">
        <f t="shared" si="55"/>
        <v>ABS</v>
      </c>
      <c r="AH114" s="154" t="str">
        <f t="shared" si="56"/>
        <v>ABS</v>
      </c>
      <c r="AI114" s="129"/>
      <c r="AJ114" s="128"/>
      <c r="AK114" s="138" t="str">
        <f t="shared" si="57"/>
        <v>ABS</v>
      </c>
      <c r="AL114" s="128"/>
      <c r="AM114" s="135" t="str">
        <f t="shared" si="58"/>
        <v>ABS</v>
      </c>
      <c r="AN114" s="193" t="str">
        <f t="shared" si="59"/>
        <v>ABS</v>
      </c>
      <c r="AO114" s="154" t="str">
        <f t="shared" si="60"/>
        <v>ABS</v>
      </c>
      <c r="AP114" s="129"/>
      <c r="AQ114" s="128"/>
      <c r="AR114" s="138" t="str">
        <f t="shared" si="61"/>
        <v>ABS</v>
      </c>
      <c r="AS114" s="128"/>
      <c r="AT114" s="135" t="str">
        <f t="shared" si="62"/>
        <v>ABS</v>
      </c>
      <c r="AU114" s="193" t="str">
        <f t="shared" si="63"/>
        <v>ABS</v>
      </c>
      <c r="AV114" s="154" t="str">
        <f t="shared" si="64"/>
        <v>ABS</v>
      </c>
      <c r="AW114" s="144"/>
      <c r="AX114" s="129"/>
      <c r="AY114" s="128"/>
      <c r="AZ114" s="135" t="str">
        <f t="shared" si="65"/>
        <v>ABS</v>
      </c>
      <c r="BA114" s="128"/>
      <c r="BB114" s="135" t="str">
        <f t="shared" si="66"/>
        <v>ABS</v>
      </c>
      <c r="BC114" s="193" t="str">
        <f t="shared" si="67"/>
        <v>ABS</v>
      </c>
      <c r="BD114" s="188" t="str">
        <f t="shared" si="68"/>
        <v>ABS</v>
      </c>
    </row>
    <row r="115" spans="2:56" ht="15.5">
      <c r="B115" s="191">
        <v>111</v>
      </c>
      <c r="C115" s="124"/>
      <c r="D115" s="147"/>
      <c r="E115" s="126"/>
      <c r="F115" s="116"/>
      <c r="G115" s="134" t="s">
        <v>23</v>
      </c>
      <c r="H115" s="128"/>
      <c r="I115" s="138" t="str">
        <f t="shared" si="41"/>
        <v>ABS</v>
      </c>
      <c r="J115" s="128"/>
      <c r="K115" s="135" t="str">
        <f t="shared" si="42"/>
        <v>ABS</v>
      </c>
      <c r="L115" s="192" t="str">
        <f t="shared" si="43"/>
        <v>ABS</v>
      </c>
      <c r="M115" s="154" t="str">
        <f t="shared" si="44"/>
        <v>ABS</v>
      </c>
      <c r="N115" s="134" t="s">
        <v>30</v>
      </c>
      <c r="O115" s="128"/>
      <c r="P115" s="138" t="str">
        <f t="shared" si="45"/>
        <v>ABS</v>
      </c>
      <c r="Q115" s="128"/>
      <c r="R115" s="135" t="str">
        <f t="shared" si="46"/>
        <v>ABS</v>
      </c>
      <c r="S115" s="193" t="str">
        <f t="shared" si="47"/>
        <v>ABS</v>
      </c>
      <c r="T115" s="154" t="str">
        <f t="shared" si="48"/>
        <v>ABS</v>
      </c>
      <c r="U115" s="137" t="s">
        <v>32</v>
      </c>
      <c r="V115" s="128"/>
      <c r="W115" s="138" t="str">
        <f t="shared" si="49"/>
        <v>ABS</v>
      </c>
      <c r="X115" s="128"/>
      <c r="Y115" s="135" t="str">
        <f t="shared" si="50"/>
        <v>ABS</v>
      </c>
      <c r="Z115" s="193" t="str">
        <f t="shared" si="51"/>
        <v>ABS</v>
      </c>
      <c r="AA115" s="154" t="str">
        <f t="shared" si="52"/>
        <v>ABS</v>
      </c>
      <c r="AB115" s="119"/>
      <c r="AC115" s="128"/>
      <c r="AD115" s="138" t="str">
        <f t="shared" si="53"/>
        <v>ABS</v>
      </c>
      <c r="AE115" s="128"/>
      <c r="AF115" s="135" t="str">
        <f t="shared" si="54"/>
        <v>ABS</v>
      </c>
      <c r="AG115" s="193" t="str">
        <f t="shared" si="55"/>
        <v>ABS</v>
      </c>
      <c r="AH115" s="154" t="str">
        <f t="shared" si="56"/>
        <v>ABS</v>
      </c>
      <c r="AI115" s="129"/>
      <c r="AJ115" s="128"/>
      <c r="AK115" s="138" t="str">
        <f t="shared" si="57"/>
        <v>ABS</v>
      </c>
      <c r="AL115" s="128"/>
      <c r="AM115" s="135" t="str">
        <f t="shared" si="58"/>
        <v>ABS</v>
      </c>
      <c r="AN115" s="193" t="str">
        <f t="shared" si="59"/>
        <v>ABS</v>
      </c>
      <c r="AO115" s="154" t="str">
        <f t="shared" si="60"/>
        <v>ABS</v>
      </c>
      <c r="AP115" s="129"/>
      <c r="AQ115" s="128"/>
      <c r="AR115" s="138" t="str">
        <f t="shared" si="61"/>
        <v>ABS</v>
      </c>
      <c r="AS115" s="128"/>
      <c r="AT115" s="135" t="str">
        <f t="shared" si="62"/>
        <v>ABS</v>
      </c>
      <c r="AU115" s="193" t="str">
        <f t="shared" si="63"/>
        <v>ABS</v>
      </c>
      <c r="AV115" s="154" t="str">
        <f t="shared" si="64"/>
        <v>ABS</v>
      </c>
      <c r="AW115" s="144"/>
      <c r="AX115" s="129"/>
      <c r="AY115" s="128"/>
      <c r="AZ115" s="135" t="str">
        <f t="shared" si="65"/>
        <v>ABS</v>
      </c>
      <c r="BA115" s="128"/>
      <c r="BB115" s="135" t="str">
        <f t="shared" si="66"/>
        <v>ABS</v>
      </c>
      <c r="BC115" s="193" t="str">
        <f t="shared" si="67"/>
        <v>ABS</v>
      </c>
      <c r="BD115" s="188" t="str">
        <f t="shared" si="68"/>
        <v>ABS</v>
      </c>
    </row>
    <row r="116" spans="2:56" ht="15.5">
      <c r="B116" s="191">
        <v>112</v>
      </c>
      <c r="C116" s="124"/>
      <c r="D116" s="147"/>
      <c r="E116" s="126"/>
      <c r="F116" s="116"/>
      <c r="G116" s="134" t="s">
        <v>23</v>
      </c>
      <c r="H116" s="128"/>
      <c r="I116" s="138" t="str">
        <f t="shared" si="41"/>
        <v>ABS</v>
      </c>
      <c r="J116" s="128"/>
      <c r="K116" s="135" t="str">
        <f t="shared" si="42"/>
        <v>ABS</v>
      </c>
      <c r="L116" s="192" t="str">
        <f t="shared" si="43"/>
        <v>ABS</v>
      </c>
      <c r="M116" s="154" t="str">
        <f t="shared" si="44"/>
        <v>ABS</v>
      </c>
      <c r="N116" s="134" t="s">
        <v>30</v>
      </c>
      <c r="O116" s="128"/>
      <c r="P116" s="138" t="str">
        <f t="shared" si="45"/>
        <v>ABS</v>
      </c>
      <c r="Q116" s="128"/>
      <c r="R116" s="135" t="str">
        <f t="shared" si="46"/>
        <v>ABS</v>
      </c>
      <c r="S116" s="193" t="str">
        <f t="shared" si="47"/>
        <v>ABS</v>
      </c>
      <c r="T116" s="154" t="str">
        <f t="shared" si="48"/>
        <v>ABS</v>
      </c>
      <c r="U116" s="137" t="s">
        <v>32</v>
      </c>
      <c r="V116" s="128"/>
      <c r="W116" s="138" t="str">
        <f t="shared" si="49"/>
        <v>ABS</v>
      </c>
      <c r="X116" s="128"/>
      <c r="Y116" s="135" t="str">
        <f t="shared" si="50"/>
        <v>ABS</v>
      </c>
      <c r="Z116" s="193" t="str">
        <f t="shared" si="51"/>
        <v>ABS</v>
      </c>
      <c r="AA116" s="154" t="str">
        <f t="shared" si="52"/>
        <v>ABS</v>
      </c>
      <c r="AB116" s="119"/>
      <c r="AC116" s="128"/>
      <c r="AD116" s="138" t="str">
        <f t="shared" si="53"/>
        <v>ABS</v>
      </c>
      <c r="AE116" s="128"/>
      <c r="AF116" s="135" t="str">
        <f t="shared" si="54"/>
        <v>ABS</v>
      </c>
      <c r="AG116" s="193" t="str">
        <f t="shared" si="55"/>
        <v>ABS</v>
      </c>
      <c r="AH116" s="154" t="str">
        <f t="shared" si="56"/>
        <v>ABS</v>
      </c>
      <c r="AI116" s="129"/>
      <c r="AJ116" s="128"/>
      <c r="AK116" s="138" t="str">
        <f t="shared" si="57"/>
        <v>ABS</v>
      </c>
      <c r="AL116" s="128"/>
      <c r="AM116" s="135" t="str">
        <f t="shared" si="58"/>
        <v>ABS</v>
      </c>
      <c r="AN116" s="193" t="str">
        <f t="shared" si="59"/>
        <v>ABS</v>
      </c>
      <c r="AO116" s="154" t="str">
        <f t="shared" si="60"/>
        <v>ABS</v>
      </c>
      <c r="AP116" s="129"/>
      <c r="AQ116" s="128"/>
      <c r="AR116" s="138" t="str">
        <f t="shared" si="61"/>
        <v>ABS</v>
      </c>
      <c r="AS116" s="128"/>
      <c r="AT116" s="135" t="str">
        <f t="shared" si="62"/>
        <v>ABS</v>
      </c>
      <c r="AU116" s="193" t="str">
        <f t="shared" si="63"/>
        <v>ABS</v>
      </c>
      <c r="AV116" s="154" t="str">
        <f t="shared" si="64"/>
        <v>ABS</v>
      </c>
      <c r="AW116" s="144"/>
      <c r="AX116" s="129"/>
      <c r="AY116" s="128"/>
      <c r="AZ116" s="135" t="str">
        <f t="shared" si="65"/>
        <v>ABS</v>
      </c>
      <c r="BA116" s="128"/>
      <c r="BB116" s="135" t="str">
        <f t="shared" si="66"/>
        <v>ABS</v>
      </c>
      <c r="BC116" s="193" t="str">
        <f t="shared" si="67"/>
        <v>ABS</v>
      </c>
      <c r="BD116" s="188" t="str">
        <f t="shared" si="68"/>
        <v>ABS</v>
      </c>
    </row>
    <row r="117" spans="2:56" ht="15.5">
      <c r="B117" s="191">
        <v>113</v>
      </c>
      <c r="C117" s="124"/>
      <c r="D117" s="147"/>
      <c r="E117" s="126"/>
      <c r="F117" s="116"/>
      <c r="G117" s="134" t="s">
        <v>23</v>
      </c>
      <c r="H117" s="128"/>
      <c r="I117" s="138" t="str">
        <f t="shared" si="41"/>
        <v>ABS</v>
      </c>
      <c r="J117" s="128"/>
      <c r="K117" s="135" t="str">
        <f t="shared" si="42"/>
        <v>ABS</v>
      </c>
      <c r="L117" s="192" t="str">
        <f t="shared" si="43"/>
        <v>ABS</v>
      </c>
      <c r="M117" s="154" t="str">
        <f t="shared" si="44"/>
        <v>ABS</v>
      </c>
      <c r="N117" s="134" t="s">
        <v>30</v>
      </c>
      <c r="O117" s="128"/>
      <c r="P117" s="138" t="str">
        <f t="shared" si="45"/>
        <v>ABS</v>
      </c>
      <c r="Q117" s="128"/>
      <c r="R117" s="135" t="str">
        <f t="shared" si="46"/>
        <v>ABS</v>
      </c>
      <c r="S117" s="193" t="str">
        <f t="shared" si="47"/>
        <v>ABS</v>
      </c>
      <c r="T117" s="154" t="str">
        <f t="shared" si="48"/>
        <v>ABS</v>
      </c>
      <c r="U117" s="137" t="s">
        <v>32</v>
      </c>
      <c r="V117" s="128"/>
      <c r="W117" s="138" t="str">
        <f t="shared" si="49"/>
        <v>ABS</v>
      </c>
      <c r="X117" s="128"/>
      <c r="Y117" s="135" t="str">
        <f t="shared" si="50"/>
        <v>ABS</v>
      </c>
      <c r="Z117" s="193" t="str">
        <f t="shared" si="51"/>
        <v>ABS</v>
      </c>
      <c r="AA117" s="154" t="str">
        <f t="shared" si="52"/>
        <v>ABS</v>
      </c>
      <c r="AB117" s="119"/>
      <c r="AC117" s="128"/>
      <c r="AD117" s="138" t="str">
        <f t="shared" si="53"/>
        <v>ABS</v>
      </c>
      <c r="AE117" s="128"/>
      <c r="AF117" s="135" t="str">
        <f t="shared" si="54"/>
        <v>ABS</v>
      </c>
      <c r="AG117" s="193" t="str">
        <f t="shared" si="55"/>
        <v>ABS</v>
      </c>
      <c r="AH117" s="154" t="str">
        <f t="shared" si="56"/>
        <v>ABS</v>
      </c>
      <c r="AI117" s="129"/>
      <c r="AJ117" s="128"/>
      <c r="AK117" s="138" t="str">
        <f t="shared" si="57"/>
        <v>ABS</v>
      </c>
      <c r="AL117" s="128"/>
      <c r="AM117" s="135" t="str">
        <f t="shared" si="58"/>
        <v>ABS</v>
      </c>
      <c r="AN117" s="193" t="str">
        <f t="shared" si="59"/>
        <v>ABS</v>
      </c>
      <c r="AO117" s="154" t="str">
        <f t="shared" si="60"/>
        <v>ABS</v>
      </c>
      <c r="AP117" s="129"/>
      <c r="AQ117" s="128"/>
      <c r="AR117" s="138" t="str">
        <f t="shared" si="61"/>
        <v>ABS</v>
      </c>
      <c r="AS117" s="128"/>
      <c r="AT117" s="135" t="str">
        <f t="shared" si="62"/>
        <v>ABS</v>
      </c>
      <c r="AU117" s="193" t="str">
        <f t="shared" si="63"/>
        <v>ABS</v>
      </c>
      <c r="AV117" s="154" t="str">
        <f t="shared" si="64"/>
        <v>ABS</v>
      </c>
      <c r="AW117" s="144"/>
      <c r="AX117" s="129"/>
      <c r="AY117" s="128"/>
      <c r="AZ117" s="135" t="str">
        <f t="shared" si="65"/>
        <v>ABS</v>
      </c>
      <c r="BA117" s="128"/>
      <c r="BB117" s="135" t="str">
        <f t="shared" si="66"/>
        <v>ABS</v>
      </c>
      <c r="BC117" s="193" t="str">
        <f t="shared" si="67"/>
        <v>ABS</v>
      </c>
      <c r="BD117" s="188" t="str">
        <f t="shared" si="68"/>
        <v>ABS</v>
      </c>
    </row>
    <row r="118" spans="2:56" ht="15.5">
      <c r="B118" s="191">
        <v>114</v>
      </c>
      <c r="C118" s="124"/>
      <c r="D118" s="147"/>
      <c r="E118" s="126"/>
      <c r="F118" s="116"/>
      <c r="G118" s="134" t="s">
        <v>23</v>
      </c>
      <c r="H118" s="128"/>
      <c r="I118" s="138" t="str">
        <f t="shared" si="41"/>
        <v>ABS</v>
      </c>
      <c r="J118" s="128"/>
      <c r="K118" s="135" t="str">
        <f t="shared" si="42"/>
        <v>ABS</v>
      </c>
      <c r="L118" s="192" t="str">
        <f t="shared" si="43"/>
        <v>ABS</v>
      </c>
      <c r="M118" s="154" t="str">
        <f t="shared" si="44"/>
        <v>ABS</v>
      </c>
      <c r="N118" s="134" t="s">
        <v>30</v>
      </c>
      <c r="O118" s="128"/>
      <c r="P118" s="138" t="str">
        <f t="shared" si="45"/>
        <v>ABS</v>
      </c>
      <c r="Q118" s="128"/>
      <c r="R118" s="135" t="str">
        <f t="shared" si="46"/>
        <v>ABS</v>
      </c>
      <c r="S118" s="193" t="str">
        <f t="shared" si="47"/>
        <v>ABS</v>
      </c>
      <c r="T118" s="154" t="str">
        <f t="shared" si="48"/>
        <v>ABS</v>
      </c>
      <c r="U118" s="137" t="s">
        <v>32</v>
      </c>
      <c r="V118" s="128"/>
      <c r="W118" s="138" t="str">
        <f t="shared" si="49"/>
        <v>ABS</v>
      </c>
      <c r="X118" s="128"/>
      <c r="Y118" s="135" t="str">
        <f t="shared" si="50"/>
        <v>ABS</v>
      </c>
      <c r="Z118" s="193" t="str">
        <f t="shared" si="51"/>
        <v>ABS</v>
      </c>
      <c r="AA118" s="154" t="str">
        <f t="shared" si="52"/>
        <v>ABS</v>
      </c>
      <c r="AB118" s="119"/>
      <c r="AC118" s="128"/>
      <c r="AD118" s="138" t="str">
        <f t="shared" si="53"/>
        <v>ABS</v>
      </c>
      <c r="AE118" s="128"/>
      <c r="AF118" s="135" t="str">
        <f t="shared" si="54"/>
        <v>ABS</v>
      </c>
      <c r="AG118" s="193" t="str">
        <f t="shared" si="55"/>
        <v>ABS</v>
      </c>
      <c r="AH118" s="154" t="str">
        <f t="shared" si="56"/>
        <v>ABS</v>
      </c>
      <c r="AI118" s="129"/>
      <c r="AJ118" s="128"/>
      <c r="AK118" s="138" t="str">
        <f t="shared" si="57"/>
        <v>ABS</v>
      </c>
      <c r="AL118" s="128"/>
      <c r="AM118" s="135" t="str">
        <f t="shared" si="58"/>
        <v>ABS</v>
      </c>
      <c r="AN118" s="193" t="str">
        <f t="shared" si="59"/>
        <v>ABS</v>
      </c>
      <c r="AO118" s="154" t="str">
        <f t="shared" si="60"/>
        <v>ABS</v>
      </c>
      <c r="AP118" s="129"/>
      <c r="AQ118" s="128"/>
      <c r="AR118" s="138" t="str">
        <f t="shared" si="61"/>
        <v>ABS</v>
      </c>
      <c r="AS118" s="128"/>
      <c r="AT118" s="135" t="str">
        <f t="shared" si="62"/>
        <v>ABS</v>
      </c>
      <c r="AU118" s="193" t="str">
        <f t="shared" si="63"/>
        <v>ABS</v>
      </c>
      <c r="AV118" s="154" t="str">
        <f t="shared" si="64"/>
        <v>ABS</v>
      </c>
      <c r="AW118" s="144"/>
      <c r="AX118" s="129"/>
      <c r="AY118" s="128"/>
      <c r="AZ118" s="135" t="str">
        <f t="shared" si="65"/>
        <v>ABS</v>
      </c>
      <c r="BA118" s="128"/>
      <c r="BB118" s="135" t="str">
        <f t="shared" si="66"/>
        <v>ABS</v>
      </c>
      <c r="BC118" s="193" t="str">
        <f t="shared" si="67"/>
        <v>ABS</v>
      </c>
      <c r="BD118" s="188" t="str">
        <f t="shared" si="68"/>
        <v>ABS</v>
      </c>
    </row>
    <row r="119" spans="2:56" ht="15.5">
      <c r="B119" s="191">
        <v>115</v>
      </c>
      <c r="C119" s="124"/>
      <c r="D119" s="147"/>
      <c r="E119" s="126"/>
      <c r="F119" s="116"/>
      <c r="G119" s="134" t="s">
        <v>23</v>
      </c>
      <c r="H119" s="128"/>
      <c r="I119" s="138" t="str">
        <f t="shared" si="41"/>
        <v>ABS</v>
      </c>
      <c r="J119" s="128"/>
      <c r="K119" s="135" t="str">
        <f t="shared" si="42"/>
        <v>ABS</v>
      </c>
      <c r="L119" s="192" t="str">
        <f t="shared" si="43"/>
        <v>ABS</v>
      </c>
      <c r="M119" s="154" t="str">
        <f t="shared" si="44"/>
        <v>ABS</v>
      </c>
      <c r="N119" s="134" t="s">
        <v>30</v>
      </c>
      <c r="O119" s="128"/>
      <c r="P119" s="138" t="str">
        <f t="shared" si="45"/>
        <v>ABS</v>
      </c>
      <c r="Q119" s="128"/>
      <c r="R119" s="135" t="str">
        <f t="shared" si="46"/>
        <v>ABS</v>
      </c>
      <c r="S119" s="193" t="str">
        <f t="shared" si="47"/>
        <v>ABS</v>
      </c>
      <c r="T119" s="154" t="str">
        <f t="shared" si="48"/>
        <v>ABS</v>
      </c>
      <c r="U119" s="137" t="s">
        <v>32</v>
      </c>
      <c r="V119" s="128"/>
      <c r="W119" s="138" t="str">
        <f t="shared" si="49"/>
        <v>ABS</v>
      </c>
      <c r="X119" s="128"/>
      <c r="Y119" s="135" t="str">
        <f t="shared" si="50"/>
        <v>ABS</v>
      </c>
      <c r="Z119" s="193" t="str">
        <f t="shared" si="51"/>
        <v>ABS</v>
      </c>
      <c r="AA119" s="154" t="str">
        <f t="shared" si="52"/>
        <v>ABS</v>
      </c>
      <c r="AB119" s="119"/>
      <c r="AC119" s="128"/>
      <c r="AD119" s="138" t="str">
        <f t="shared" si="53"/>
        <v>ABS</v>
      </c>
      <c r="AE119" s="128"/>
      <c r="AF119" s="135" t="str">
        <f t="shared" si="54"/>
        <v>ABS</v>
      </c>
      <c r="AG119" s="193" t="str">
        <f t="shared" si="55"/>
        <v>ABS</v>
      </c>
      <c r="AH119" s="154" t="str">
        <f t="shared" si="56"/>
        <v>ABS</v>
      </c>
      <c r="AI119" s="129"/>
      <c r="AJ119" s="128"/>
      <c r="AK119" s="138" t="str">
        <f t="shared" si="57"/>
        <v>ABS</v>
      </c>
      <c r="AL119" s="128"/>
      <c r="AM119" s="135" t="str">
        <f t="shared" si="58"/>
        <v>ABS</v>
      </c>
      <c r="AN119" s="193" t="str">
        <f t="shared" si="59"/>
        <v>ABS</v>
      </c>
      <c r="AO119" s="154" t="str">
        <f t="shared" si="60"/>
        <v>ABS</v>
      </c>
      <c r="AP119" s="129"/>
      <c r="AQ119" s="128"/>
      <c r="AR119" s="138" t="str">
        <f t="shared" si="61"/>
        <v>ABS</v>
      </c>
      <c r="AS119" s="128"/>
      <c r="AT119" s="135" t="str">
        <f t="shared" si="62"/>
        <v>ABS</v>
      </c>
      <c r="AU119" s="193" t="str">
        <f t="shared" si="63"/>
        <v>ABS</v>
      </c>
      <c r="AV119" s="154" t="str">
        <f t="shared" si="64"/>
        <v>ABS</v>
      </c>
      <c r="AW119" s="144"/>
      <c r="AX119" s="129"/>
      <c r="AY119" s="128"/>
      <c r="AZ119" s="135" t="str">
        <f t="shared" si="65"/>
        <v>ABS</v>
      </c>
      <c r="BA119" s="128"/>
      <c r="BB119" s="135" t="str">
        <f t="shared" si="66"/>
        <v>ABS</v>
      </c>
      <c r="BC119" s="193" t="str">
        <f t="shared" si="67"/>
        <v>ABS</v>
      </c>
      <c r="BD119" s="188" t="str">
        <f t="shared" si="68"/>
        <v>ABS</v>
      </c>
    </row>
    <row r="120" spans="2:56" ht="15.5">
      <c r="B120" s="191">
        <v>116</v>
      </c>
      <c r="C120" s="124"/>
      <c r="D120" s="147"/>
      <c r="E120" s="126"/>
      <c r="F120" s="116"/>
      <c r="G120" s="134" t="s">
        <v>23</v>
      </c>
      <c r="H120" s="128"/>
      <c r="I120" s="138" t="str">
        <f t="shared" si="41"/>
        <v>ABS</v>
      </c>
      <c r="J120" s="128"/>
      <c r="K120" s="135" t="str">
        <f t="shared" si="42"/>
        <v>ABS</v>
      </c>
      <c r="L120" s="192" t="str">
        <f t="shared" si="43"/>
        <v>ABS</v>
      </c>
      <c r="M120" s="154" t="str">
        <f t="shared" si="44"/>
        <v>ABS</v>
      </c>
      <c r="N120" s="134" t="s">
        <v>30</v>
      </c>
      <c r="O120" s="128"/>
      <c r="P120" s="138" t="str">
        <f t="shared" si="45"/>
        <v>ABS</v>
      </c>
      <c r="Q120" s="128"/>
      <c r="R120" s="135" t="str">
        <f t="shared" si="46"/>
        <v>ABS</v>
      </c>
      <c r="S120" s="193" t="str">
        <f t="shared" si="47"/>
        <v>ABS</v>
      </c>
      <c r="T120" s="154" t="str">
        <f t="shared" si="48"/>
        <v>ABS</v>
      </c>
      <c r="U120" s="137" t="s">
        <v>32</v>
      </c>
      <c r="V120" s="128"/>
      <c r="W120" s="138" t="str">
        <f t="shared" si="49"/>
        <v>ABS</v>
      </c>
      <c r="X120" s="128"/>
      <c r="Y120" s="135" t="str">
        <f t="shared" si="50"/>
        <v>ABS</v>
      </c>
      <c r="Z120" s="193" t="str">
        <f t="shared" si="51"/>
        <v>ABS</v>
      </c>
      <c r="AA120" s="154" t="str">
        <f t="shared" si="52"/>
        <v>ABS</v>
      </c>
      <c r="AB120" s="119"/>
      <c r="AC120" s="128"/>
      <c r="AD120" s="138" t="str">
        <f t="shared" si="53"/>
        <v>ABS</v>
      </c>
      <c r="AE120" s="128"/>
      <c r="AF120" s="135" t="str">
        <f t="shared" si="54"/>
        <v>ABS</v>
      </c>
      <c r="AG120" s="193" t="str">
        <f t="shared" si="55"/>
        <v>ABS</v>
      </c>
      <c r="AH120" s="154" t="str">
        <f t="shared" si="56"/>
        <v>ABS</v>
      </c>
      <c r="AI120" s="129"/>
      <c r="AJ120" s="128"/>
      <c r="AK120" s="138" t="str">
        <f t="shared" si="57"/>
        <v>ABS</v>
      </c>
      <c r="AL120" s="128"/>
      <c r="AM120" s="135" t="str">
        <f t="shared" si="58"/>
        <v>ABS</v>
      </c>
      <c r="AN120" s="193" t="str">
        <f t="shared" si="59"/>
        <v>ABS</v>
      </c>
      <c r="AO120" s="154" t="str">
        <f t="shared" si="60"/>
        <v>ABS</v>
      </c>
      <c r="AP120" s="129"/>
      <c r="AQ120" s="128"/>
      <c r="AR120" s="138" t="str">
        <f t="shared" si="61"/>
        <v>ABS</v>
      </c>
      <c r="AS120" s="128"/>
      <c r="AT120" s="135" t="str">
        <f t="shared" si="62"/>
        <v>ABS</v>
      </c>
      <c r="AU120" s="193" t="str">
        <f t="shared" si="63"/>
        <v>ABS</v>
      </c>
      <c r="AV120" s="154" t="str">
        <f t="shared" si="64"/>
        <v>ABS</v>
      </c>
      <c r="AW120" s="144"/>
      <c r="AX120" s="129"/>
      <c r="AY120" s="128"/>
      <c r="AZ120" s="135" t="str">
        <f t="shared" si="65"/>
        <v>ABS</v>
      </c>
      <c r="BA120" s="128"/>
      <c r="BB120" s="135" t="str">
        <f t="shared" si="66"/>
        <v>ABS</v>
      </c>
      <c r="BC120" s="193" t="str">
        <f t="shared" si="67"/>
        <v>ABS</v>
      </c>
      <c r="BD120" s="188" t="str">
        <f t="shared" si="68"/>
        <v>ABS</v>
      </c>
    </row>
    <row r="121" spans="2:56" ht="15.5">
      <c r="B121" s="191">
        <v>117</v>
      </c>
      <c r="C121" s="124"/>
      <c r="D121" s="147"/>
      <c r="E121" s="126"/>
      <c r="F121" s="116"/>
      <c r="G121" s="134" t="s">
        <v>23</v>
      </c>
      <c r="H121" s="128"/>
      <c r="I121" s="138" t="str">
        <f t="shared" si="41"/>
        <v>ABS</v>
      </c>
      <c r="J121" s="128"/>
      <c r="K121" s="135" t="str">
        <f t="shared" si="42"/>
        <v>ABS</v>
      </c>
      <c r="L121" s="192" t="str">
        <f t="shared" si="43"/>
        <v>ABS</v>
      </c>
      <c r="M121" s="154" t="str">
        <f t="shared" si="44"/>
        <v>ABS</v>
      </c>
      <c r="N121" s="134" t="s">
        <v>30</v>
      </c>
      <c r="O121" s="128"/>
      <c r="P121" s="138" t="str">
        <f t="shared" si="45"/>
        <v>ABS</v>
      </c>
      <c r="Q121" s="128"/>
      <c r="R121" s="135" t="str">
        <f t="shared" si="46"/>
        <v>ABS</v>
      </c>
      <c r="S121" s="193" t="str">
        <f t="shared" si="47"/>
        <v>ABS</v>
      </c>
      <c r="T121" s="154" t="str">
        <f t="shared" si="48"/>
        <v>ABS</v>
      </c>
      <c r="U121" s="137" t="s">
        <v>32</v>
      </c>
      <c r="V121" s="128"/>
      <c r="W121" s="138" t="str">
        <f t="shared" si="49"/>
        <v>ABS</v>
      </c>
      <c r="X121" s="128"/>
      <c r="Y121" s="135" t="str">
        <f t="shared" si="50"/>
        <v>ABS</v>
      </c>
      <c r="Z121" s="193" t="str">
        <f t="shared" si="51"/>
        <v>ABS</v>
      </c>
      <c r="AA121" s="154" t="str">
        <f t="shared" si="52"/>
        <v>ABS</v>
      </c>
      <c r="AB121" s="119"/>
      <c r="AC121" s="128"/>
      <c r="AD121" s="138" t="str">
        <f t="shared" si="53"/>
        <v>ABS</v>
      </c>
      <c r="AE121" s="128"/>
      <c r="AF121" s="135" t="str">
        <f t="shared" si="54"/>
        <v>ABS</v>
      </c>
      <c r="AG121" s="193" t="str">
        <f t="shared" si="55"/>
        <v>ABS</v>
      </c>
      <c r="AH121" s="154" t="str">
        <f t="shared" si="56"/>
        <v>ABS</v>
      </c>
      <c r="AI121" s="129"/>
      <c r="AJ121" s="128"/>
      <c r="AK121" s="138" t="str">
        <f t="shared" si="57"/>
        <v>ABS</v>
      </c>
      <c r="AL121" s="128"/>
      <c r="AM121" s="135" t="str">
        <f t="shared" si="58"/>
        <v>ABS</v>
      </c>
      <c r="AN121" s="193" t="str">
        <f t="shared" si="59"/>
        <v>ABS</v>
      </c>
      <c r="AO121" s="154" t="str">
        <f t="shared" si="60"/>
        <v>ABS</v>
      </c>
      <c r="AP121" s="129"/>
      <c r="AQ121" s="128"/>
      <c r="AR121" s="138" t="str">
        <f t="shared" si="61"/>
        <v>ABS</v>
      </c>
      <c r="AS121" s="128"/>
      <c r="AT121" s="135" t="str">
        <f t="shared" si="62"/>
        <v>ABS</v>
      </c>
      <c r="AU121" s="193" t="str">
        <f t="shared" si="63"/>
        <v>ABS</v>
      </c>
      <c r="AV121" s="154" t="str">
        <f t="shared" si="64"/>
        <v>ABS</v>
      </c>
      <c r="AW121" s="144"/>
      <c r="AX121" s="129"/>
      <c r="AY121" s="128"/>
      <c r="AZ121" s="135" t="str">
        <f t="shared" si="65"/>
        <v>ABS</v>
      </c>
      <c r="BA121" s="128"/>
      <c r="BB121" s="135" t="str">
        <f t="shared" si="66"/>
        <v>ABS</v>
      </c>
      <c r="BC121" s="193" t="str">
        <f t="shared" si="67"/>
        <v>ABS</v>
      </c>
      <c r="BD121" s="188" t="str">
        <f t="shared" si="68"/>
        <v>ABS</v>
      </c>
    </row>
    <row r="122" spans="2:56" ht="15.5">
      <c r="B122" s="191">
        <v>118</v>
      </c>
      <c r="C122" s="124"/>
      <c r="D122" s="147"/>
      <c r="E122" s="126"/>
      <c r="F122" s="116"/>
      <c r="G122" s="134" t="s">
        <v>23</v>
      </c>
      <c r="H122" s="128"/>
      <c r="I122" s="138" t="str">
        <f t="shared" si="41"/>
        <v>ABS</v>
      </c>
      <c r="J122" s="128"/>
      <c r="K122" s="135" t="str">
        <f t="shared" si="42"/>
        <v>ABS</v>
      </c>
      <c r="L122" s="192" t="str">
        <f t="shared" si="43"/>
        <v>ABS</v>
      </c>
      <c r="M122" s="154" t="str">
        <f t="shared" si="44"/>
        <v>ABS</v>
      </c>
      <c r="N122" s="134" t="s">
        <v>30</v>
      </c>
      <c r="O122" s="128"/>
      <c r="P122" s="138" t="str">
        <f t="shared" si="45"/>
        <v>ABS</v>
      </c>
      <c r="Q122" s="128"/>
      <c r="R122" s="135" t="str">
        <f t="shared" si="46"/>
        <v>ABS</v>
      </c>
      <c r="S122" s="193" t="str">
        <f t="shared" si="47"/>
        <v>ABS</v>
      </c>
      <c r="T122" s="154" t="str">
        <f t="shared" si="48"/>
        <v>ABS</v>
      </c>
      <c r="U122" s="137" t="s">
        <v>32</v>
      </c>
      <c r="V122" s="128"/>
      <c r="W122" s="138" t="str">
        <f t="shared" si="49"/>
        <v>ABS</v>
      </c>
      <c r="X122" s="128"/>
      <c r="Y122" s="135" t="str">
        <f t="shared" si="50"/>
        <v>ABS</v>
      </c>
      <c r="Z122" s="193" t="str">
        <f t="shared" si="51"/>
        <v>ABS</v>
      </c>
      <c r="AA122" s="154" t="str">
        <f t="shared" si="52"/>
        <v>ABS</v>
      </c>
      <c r="AB122" s="119"/>
      <c r="AC122" s="128"/>
      <c r="AD122" s="138" t="str">
        <f t="shared" si="53"/>
        <v>ABS</v>
      </c>
      <c r="AE122" s="128"/>
      <c r="AF122" s="135" t="str">
        <f t="shared" si="54"/>
        <v>ABS</v>
      </c>
      <c r="AG122" s="193" t="str">
        <f t="shared" si="55"/>
        <v>ABS</v>
      </c>
      <c r="AH122" s="154" t="str">
        <f t="shared" si="56"/>
        <v>ABS</v>
      </c>
      <c r="AI122" s="129"/>
      <c r="AJ122" s="128"/>
      <c r="AK122" s="138" t="str">
        <f t="shared" si="57"/>
        <v>ABS</v>
      </c>
      <c r="AL122" s="128"/>
      <c r="AM122" s="135" t="str">
        <f t="shared" si="58"/>
        <v>ABS</v>
      </c>
      <c r="AN122" s="193" t="str">
        <f t="shared" si="59"/>
        <v>ABS</v>
      </c>
      <c r="AO122" s="154" t="str">
        <f t="shared" si="60"/>
        <v>ABS</v>
      </c>
      <c r="AP122" s="129"/>
      <c r="AQ122" s="128"/>
      <c r="AR122" s="138" t="str">
        <f t="shared" si="61"/>
        <v>ABS</v>
      </c>
      <c r="AS122" s="128"/>
      <c r="AT122" s="135" t="str">
        <f t="shared" si="62"/>
        <v>ABS</v>
      </c>
      <c r="AU122" s="193" t="str">
        <f t="shared" si="63"/>
        <v>ABS</v>
      </c>
      <c r="AV122" s="154" t="str">
        <f t="shared" si="64"/>
        <v>ABS</v>
      </c>
      <c r="AW122" s="144"/>
      <c r="AX122" s="129"/>
      <c r="AY122" s="128"/>
      <c r="AZ122" s="135" t="str">
        <f t="shared" si="65"/>
        <v>ABS</v>
      </c>
      <c r="BA122" s="128"/>
      <c r="BB122" s="135" t="str">
        <f t="shared" si="66"/>
        <v>ABS</v>
      </c>
      <c r="BC122" s="193" t="str">
        <f t="shared" si="67"/>
        <v>ABS</v>
      </c>
      <c r="BD122" s="188" t="str">
        <f t="shared" si="68"/>
        <v>ABS</v>
      </c>
    </row>
    <row r="123" spans="2:56" ht="15.5">
      <c r="B123" s="191">
        <v>119</v>
      </c>
      <c r="C123" s="124"/>
      <c r="D123" s="147"/>
      <c r="E123" s="126"/>
      <c r="F123" s="116"/>
      <c r="G123" s="134" t="s">
        <v>23</v>
      </c>
      <c r="H123" s="128"/>
      <c r="I123" s="138" t="str">
        <f t="shared" si="41"/>
        <v>ABS</v>
      </c>
      <c r="J123" s="128"/>
      <c r="K123" s="135" t="str">
        <f t="shared" si="42"/>
        <v>ABS</v>
      </c>
      <c r="L123" s="192" t="str">
        <f t="shared" si="43"/>
        <v>ABS</v>
      </c>
      <c r="M123" s="154" t="str">
        <f t="shared" si="44"/>
        <v>ABS</v>
      </c>
      <c r="N123" s="134" t="s">
        <v>30</v>
      </c>
      <c r="O123" s="128"/>
      <c r="P123" s="138" t="str">
        <f t="shared" si="45"/>
        <v>ABS</v>
      </c>
      <c r="Q123" s="128"/>
      <c r="R123" s="135" t="str">
        <f t="shared" si="46"/>
        <v>ABS</v>
      </c>
      <c r="S123" s="193" t="str">
        <f t="shared" si="47"/>
        <v>ABS</v>
      </c>
      <c r="T123" s="154" t="str">
        <f t="shared" si="48"/>
        <v>ABS</v>
      </c>
      <c r="U123" s="137" t="s">
        <v>32</v>
      </c>
      <c r="V123" s="128"/>
      <c r="W123" s="138" t="str">
        <f t="shared" si="49"/>
        <v>ABS</v>
      </c>
      <c r="X123" s="128"/>
      <c r="Y123" s="135" t="str">
        <f t="shared" si="50"/>
        <v>ABS</v>
      </c>
      <c r="Z123" s="193" t="str">
        <f t="shared" si="51"/>
        <v>ABS</v>
      </c>
      <c r="AA123" s="154" t="str">
        <f t="shared" si="52"/>
        <v>ABS</v>
      </c>
      <c r="AB123" s="119"/>
      <c r="AC123" s="128"/>
      <c r="AD123" s="138" t="str">
        <f t="shared" si="53"/>
        <v>ABS</v>
      </c>
      <c r="AE123" s="128"/>
      <c r="AF123" s="135" t="str">
        <f t="shared" si="54"/>
        <v>ABS</v>
      </c>
      <c r="AG123" s="193" t="str">
        <f t="shared" si="55"/>
        <v>ABS</v>
      </c>
      <c r="AH123" s="154" t="str">
        <f t="shared" si="56"/>
        <v>ABS</v>
      </c>
      <c r="AI123" s="129"/>
      <c r="AJ123" s="128"/>
      <c r="AK123" s="138" t="str">
        <f t="shared" si="57"/>
        <v>ABS</v>
      </c>
      <c r="AL123" s="128"/>
      <c r="AM123" s="135" t="str">
        <f t="shared" si="58"/>
        <v>ABS</v>
      </c>
      <c r="AN123" s="193" t="str">
        <f t="shared" si="59"/>
        <v>ABS</v>
      </c>
      <c r="AO123" s="154" t="str">
        <f t="shared" si="60"/>
        <v>ABS</v>
      </c>
      <c r="AP123" s="129"/>
      <c r="AQ123" s="128"/>
      <c r="AR123" s="138" t="str">
        <f t="shared" si="61"/>
        <v>ABS</v>
      </c>
      <c r="AS123" s="128"/>
      <c r="AT123" s="135" t="str">
        <f t="shared" si="62"/>
        <v>ABS</v>
      </c>
      <c r="AU123" s="193" t="str">
        <f t="shared" si="63"/>
        <v>ABS</v>
      </c>
      <c r="AV123" s="154" t="str">
        <f t="shared" si="64"/>
        <v>ABS</v>
      </c>
      <c r="AW123" s="144"/>
      <c r="AX123" s="129"/>
      <c r="AY123" s="128"/>
      <c r="AZ123" s="135" t="str">
        <f t="shared" si="65"/>
        <v>ABS</v>
      </c>
      <c r="BA123" s="128"/>
      <c r="BB123" s="135" t="str">
        <f t="shared" si="66"/>
        <v>ABS</v>
      </c>
      <c r="BC123" s="193" t="str">
        <f t="shared" si="67"/>
        <v>ABS</v>
      </c>
      <c r="BD123" s="188" t="str">
        <f t="shared" si="68"/>
        <v>ABS</v>
      </c>
    </row>
    <row r="124" spans="2:56" ht="15.5">
      <c r="B124" s="191">
        <v>120</v>
      </c>
      <c r="C124" s="124"/>
      <c r="D124" s="147"/>
      <c r="E124" s="126"/>
      <c r="F124" s="116"/>
      <c r="G124" s="134" t="s">
        <v>23</v>
      </c>
      <c r="H124" s="128"/>
      <c r="I124" s="138" t="str">
        <f t="shared" si="41"/>
        <v>ABS</v>
      </c>
      <c r="J124" s="128"/>
      <c r="K124" s="135" t="str">
        <f t="shared" si="42"/>
        <v>ABS</v>
      </c>
      <c r="L124" s="192" t="str">
        <f t="shared" si="43"/>
        <v>ABS</v>
      </c>
      <c r="M124" s="154" t="str">
        <f t="shared" si="44"/>
        <v>ABS</v>
      </c>
      <c r="N124" s="134" t="s">
        <v>30</v>
      </c>
      <c r="O124" s="128"/>
      <c r="P124" s="138" t="str">
        <f t="shared" si="45"/>
        <v>ABS</v>
      </c>
      <c r="Q124" s="128"/>
      <c r="R124" s="135" t="str">
        <f t="shared" si="46"/>
        <v>ABS</v>
      </c>
      <c r="S124" s="193" t="str">
        <f t="shared" si="47"/>
        <v>ABS</v>
      </c>
      <c r="T124" s="154" t="str">
        <f t="shared" si="48"/>
        <v>ABS</v>
      </c>
      <c r="U124" s="137" t="s">
        <v>32</v>
      </c>
      <c r="V124" s="128"/>
      <c r="W124" s="138" t="str">
        <f t="shared" si="49"/>
        <v>ABS</v>
      </c>
      <c r="X124" s="128"/>
      <c r="Y124" s="135" t="str">
        <f t="shared" si="50"/>
        <v>ABS</v>
      </c>
      <c r="Z124" s="193" t="str">
        <f t="shared" si="51"/>
        <v>ABS</v>
      </c>
      <c r="AA124" s="154" t="str">
        <f t="shared" si="52"/>
        <v>ABS</v>
      </c>
      <c r="AB124" s="119"/>
      <c r="AC124" s="128"/>
      <c r="AD124" s="138" t="str">
        <f t="shared" si="53"/>
        <v>ABS</v>
      </c>
      <c r="AE124" s="128"/>
      <c r="AF124" s="135" t="str">
        <f t="shared" si="54"/>
        <v>ABS</v>
      </c>
      <c r="AG124" s="193" t="str">
        <f t="shared" si="55"/>
        <v>ABS</v>
      </c>
      <c r="AH124" s="154" t="str">
        <f t="shared" si="56"/>
        <v>ABS</v>
      </c>
      <c r="AI124" s="129"/>
      <c r="AJ124" s="128"/>
      <c r="AK124" s="138" t="str">
        <f t="shared" si="57"/>
        <v>ABS</v>
      </c>
      <c r="AL124" s="128"/>
      <c r="AM124" s="135" t="str">
        <f t="shared" si="58"/>
        <v>ABS</v>
      </c>
      <c r="AN124" s="193" t="str">
        <f t="shared" si="59"/>
        <v>ABS</v>
      </c>
      <c r="AO124" s="154" t="str">
        <f t="shared" si="60"/>
        <v>ABS</v>
      </c>
      <c r="AP124" s="129"/>
      <c r="AQ124" s="128"/>
      <c r="AR124" s="138" t="str">
        <f t="shared" si="61"/>
        <v>ABS</v>
      </c>
      <c r="AS124" s="128"/>
      <c r="AT124" s="135" t="str">
        <f t="shared" si="62"/>
        <v>ABS</v>
      </c>
      <c r="AU124" s="193" t="str">
        <f t="shared" si="63"/>
        <v>ABS</v>
      </c>
      <c r="AV124" s="154" t="str">
        <f t="shared" si="64"/>
        <v>ABS</v>
      </c>
      <c r="AW124" s="144"/>
      <c r="AX124" s="129"/>
      <c r="AY124" s="128"/>
      <c r="AZ124" s="135" t="str">
        <f t="shared" si="65"/>
        <v>ABS</v>
      </c>
      <c r="BA124" s="128"/>
      <c r="BB124" s="135" t="str">
        <f t="shared" si="66"/>
        <v>ABS</v>
      </c>
      <c r="BC124" s="193" t="str">
        <f t="shared" si="67"/>
        <v>ABS</v>
      </c>
      <c r="BD124" s="188" t="str">
        <f t="shared" si="68"/>
        <v>ABS</v>
      </c>
    </row>
    <row r="125" spans="2:56" ht="15.5">
      <c r="B125" s="191">
        <v>121</v>
      </c>
      <c r="C125" s="101"/>
      <c r="D125" s="101"/>
      <c r="E125" s="125"/>
      <c r="F125" s="116"/>
      <c r="G125" s="134" t="s">
        <v>23</v>
      </c>
      <c r="H125" s="144"/>
      <c r="I125" s="135" t="str">
        <f t="shared" ref="I125:I133" si="69">IF(H125/H$4&gt;=0.9,"4.0",IF(H125/H$4&gt;=0.8,"3.6",IF(H125/H$4&gt;=0.7,"3.2",IF(H125/H$4&gt;=0.6,"2.8",IF(H125/H$4&gt;=0.5,"2.4",IF(H125/H$4&gt;=0.4,"2.0",IF(H125/H$4&gt;=0.35,"1.6",IF(H125/H$4&gt;0,"-","ABS"))))))))</f>
        <v>ABS</v>
      </c>
      <c r="J125" s="144"/>
      <c r="K125" s="135" t="str">
        <f t="shared" si="42"/>
        <v>ABS</v>
      </c>
      <c r="L125" s="192" t="str">
        <f t="shared" si="43"/>
        <v>ABS</v>
      </c>
      <c r="M125" s="154" t="str">
        <f t="shared" si="44"/>
        <v>ABS</v>
      </c>
      <c r="N125" s="134" t="s">
        <v>30</v>
      </c>
      <c r="O125" s="144"/>
      <c r="P125" s="135" t="str">
        <f t="shared" ref="P125:P133" si="70">IF(O125/O$4&gt;=0.9,"4.0",IF(O125/O$4&gt;=0.8,"3.6",IF(O125/O$4&gt;=0.7,"3.2",IF(O125/O$4&gt;=0.6,"2.8",IF(O125/O$4&gt;=0.5,"2.4",IF(O125/O$4&gt;=0.4,"2.0",IF(O125/O$4&gt;=0.35,"1.6",IF(O125/O$4&gt;0,"-","ABS"))))))))</f>
        <v>ABS</v>
      </c>
      <c r="Q125" s="144"/>
      <c r="R125" s="135" t="str">
        <f t="shared" si="46"/>
        <v>ABS</v>
      </c>
      <c r="S125" s="193" t="str">
        <f t="shared" si="47"/>
        <v>ABS</v>
      </c>
      <c r="T125" s="154" t="str">
        <f t="shared" si="48"/>
        <v>ABS</v>
      </c>
      <c r="U125" s="137" t="s">
        <v>32</v>
      </c>
      <c r="V125" s="144"/>
      <c r="W125" s="135" t="str">
        <f t="shared" ref="W125:W133" si="71">IF(V125/V$4&gt;=0.9,"4.0",IF(V125/V$4&gt;=0.8,"3.6",IF(V125/V$4&gt;=0.7,"3.2",IF(V125/V$4&gt;=0.6,"2.8",IF(V125/V$4&gt;=0.5,"2.4",IF(V125/V$4&gt;=0.4,"2.0",IF(V125/V$4&gt;=0.35,"1.6",IF(V125/V$4&gt;0,"-","ABS"))))))))</f>
        <v>ABS</v>
      </c>
      <c r="X125" s="144"/>
      <c r="Y125" s="135" t="str">
        <f t="shared" si="50"/>
        <v>ABS</v>
      </c>
      <c r="Z125" s="193" t="str">
        <f t="shared" si="51"/>
        <v>ABS</v>
      </c>
      <c r="AA125" s="154" t="str">
        <f t="shared" si="52"/>
        <v>ABS</v>
      </c>
      <c r="AB125" s="145"/>
      <c r="AC125" s="144"/>
      <c r="AD125" s="135" t="str">
        <f t="shared" ref="AD125:AD133" si="72">IF(AC125/AC$4&gt;=0.9,"4.0",IF(AC125/AC$4&gt;=0.8,"3.6",IF(AC125/AC$4&gt;=0.7,"3.2",IF(AC125/AC$4&gt;=0.6,"2.8",IF(AC125/AC$4&gt;=0.5,"2.4",IF(AC125/AC$4&gt;=0.4,"2.0",IF(AC125/AC$4&gt;=0.35,"1.6",IF(AC125/AC$4&gt;0,"-","ABS"))))))))</f>
        <v>ABS</v>
      </c>
      <c r="AE125" s="144"/>
      <c r="AF125" s="135" t="str">
        <f t="shared" si="54"/>
        <v>ABS</v>
      </c>
      <c r="AG125" s="193" t="str">
        <f t="shared" si="55"/>
        <v>ABS</v>
      </c>
      <c r="AH125" s="154" t="str">
        <f t="shared" si="56"/>
        <v>ABS</v>
      </c>
      <c r="AI125" s="145"/>
      <c r="AJ125" s="144"/>
      <c r="AK125" s="135" t="str">
        <f t="shared" ref="AK125:AK133" si="73">IF(AJ125/AJ$4&gt;=0.9,"4.0",IF(AJ125/AJ$4&gt;=0.8,"3.6",IF(AJ125/AJ$4&gt;=0.7,"3.2",IF(AJ125/AJ$4&gt;=0.6,"2.8",IF(AJ125/AJ$4&gt;=0.5,"2.4",IF(AJ125/AJ$4&gt;=0.4,"2.0",IF(AJ125/AJ$4&gt;=0.35,"1.6",IF(AJ125/AJ$4&gt;0,"-","ABS"))))))))</f>
        <v>ABS</v>
      </c>
      <c r="AL125" s="144"/>
      <c r="AM125" s="135" t="str">
        <f t="shared" si="58"/>
        <v>ABS</v>
      </c>
      <c r="AN125" s="193" t="str">
        <f t="shared" si="59"/>
        <v>ABS</v>
      </c>
      <c r="AO125" s="154" t="str">
        <f t="shared" si="60"/>
        <v>ABS</v>
      </c>
      <c r="AP125" s="145"/>
      <c r="AQ125" s="144"/>
      <c r="AR125" s="138" t="str">
        <f t="shared" si="61"/>
        <v>ABS</v>
      </c>
      <c r="AS125" s="144"/>
      <c r="AT125" s="135" t="str">
        <f t="shared" si="62"/>
        <v>ABS</v>
      </c>
      <c r="AU125" s="193" t="str">
        <f t="shared" si="63"/>
        <v>ABS</v>
      </c>
      <c r="AV125" s="154" t="str">
        <f t="shared" si="64"/>
        <v>ABS</v>
      </c>
      <c r="AW125" s="144"/>
      <c r="AX125" s="129"/>
      <c r="AY125" s="128"/>
      <c r="AZ125" s="135" t="str">
        <f t="shared" si="65"/>
        <v>ABS</v>
      </c>
      <c r="BA125" s="128"/>
      <c r="BB125" s="135" t="str">
        <f t="shared" si="66"/>
        <v>ABS</v>
      </c>
      <c r="BC125" s="193" t="str">
        <f t="shared" si="67"/>
        <v>ABS</v>
      </c>
      <c r="BD125" s="188" t="str">
        <f t="shared" si="68"/>
        <v>ABS</v>
      </c>
    </row>
    <row r="126" spans="2:56" ht="15.5">
      <c r="B126" s="191">
        <v>122</v>
      </c>
      <c r="C126" s="101"/>
      <c r="D126" s="101"/>
      <c r="E126" s="125"/>
      <c r="F126" s="116"/>
      <c r="G126" s="134" t="s">
        <v>23</v>
      </c>
      <c r="H126" s="144"/>
      <c r="I126" s="135" t="str">
        <f t="shared" si="69"/>
        <v>ABS</v>
      </c>
      <c r="J126" s="144"/>
      <c r="K126" s="135" t="str">
        <f t="shared" si="42"/>
        <v>ABS</v>
      </c>
      <c r="L126" s="192" t="str">
        <f t="shared" si="43"/>
        <v>ABS</v>
      </c>
      <c r="M126" s="154" t="str">
        <f t="shared" si="44"/>
        <v>ABS</v>
      </c>
      <c r="N126" s="134" t="s">
        <v>30</v>
      </c>
      <c r="O126" s="144"/>
      <c r="P126" s="135" t="str">
        <f t="shared" si="70"/>
        <v>ABS</v>
      </c>
      <c r="Q126" s="144"/>
      <c r="R126" s="135" t="str">
        <f t="shared" si="46"/>
        <v>ABS</v>
      </c>
      <c r="S126" s="193" t="str">
        <f t="shared" si="47"/>
        <v>ABS</v>
      </c>
      <c r="T126" s="154" t="str">
        <f t="shared" si="48"/>
        <v>ABS</v>
      </c>
      <c r="U126" s="137" t="s">
        <v>32</v>
      </c>
      <c r="V126" s="144"/>
      <c r="W126" s="135" t="str">
        <f t="shared" si="71"/>
        <v>ABS</v>
      </c>
      <c r="X126" s="144"/>
      <c r="Y126" s="135" t="str">
        <f t="shared" si="50"/>
        <v>ABS</v>
      </c>
      <c r="Z126" s="193" t="str">
        <f t="shared" si="51"/>
        <v>ABS</v>
      </c>
      <c r="AA126" s="154" t="str">
        <f t="shared" si="52"/>
        <v>ABS</v>
      </c>
      <c r="AB126" s="145"/>
      <c r="AC126" s="144"/>
      <c r="AD126" s="135" t="str">
        <f t="shared" si="72"/>
        <v>ABS</v>
      </c>
      <c r="AE126" s="144"/>
      <c r="AF126" s="135" t="str">
        <f t="shared" si="54"/>
        <v>ABS</v>
      </c>
      <c r="AG126" s="193" t="str">
        <f t="shared" si="55"/>
        <v>ABS</v>
      </c>
      <c r="AH126" s="154" t="str">
        <f t="shared" si="56"/>
        <v>ABS</v>
      </c>
      <c r="AI126" s="145"/>
      <c r="AJ126" s="144"/>
      <c r="AK126" s="135" t="str">
        <f t="shared" si="73"/>
        <v>ABS</v>
      </c>
      <c r="AL126" s="144"/>
      <c r="AM126" s="135" t="str">
        <f t="shared" si="58"/>
        <v>ABS</v>
      </c>
      <c r="AN126" s="193" t="str">
        <f t="shared" si="59"/>
        <v>ABS</v>
      </c>
      <c r="AO126" s="154" t="str">
        <f t="shared" si="60"/>
        <v>ABS</v>
      </c>
      <c r="AP126" s="145"/>
      <c r="AQ126" s="144"/>
      <c r="AR126" s="138" t="str">
        <f t="shared" si="61"/>
        <v>ABS</v>
      </c>
      <c r="AS126" s="144"/>
      <c r="AT126" s="135" t="str">
        <f t="shared" si="62"/>
        <v>ABS</v>
      </c>
      <c r="AU126" s="193" t="str">
        <f t="shared" si="63"/>
        <v>ABS</v>
      </c>
      <c r="AV126" s="154" t="str">
        <f t="shared" si="64"/>
        <v>ABS</v>
      </c>
      <c r="AW126" s="144"/>
      <c r="AX126" s="129"/>
      <c r="AY126" s="128"/>
      <c r="AZ126" s="135" t="str">
        <f t="shared" si="65"/>
        <v>ABS</v>
      </c>
      <c r="BA126" s="128"/>
      <c r="BB126" s="135" t="str">
        <f t="shared" si="66"/>
        <v>ABS</v>
      </c>
      <c r="BC126" s="193" t="str">
        <f t="shared" si="67"/>
        <v>ABS</v>
      </c>
      <c r="BD126" s="188" t="str">
        <f t="shared" si="68"/>
        <v>ABS</v>
      </c>
    </row>
    <row r="127" spans="2:56" ht="15.5">
      <c r="B127" s="191">
        <v>123</v>
      </c>
      <c r="C127" s="101"/>
      <c r="D127" s="101"/>
      <c r="E127" s="125"/>
      <c r="F127" s="116"/>
      <c r="G127" s="134" t="s">
        <v>23</v>
      </c>
      <c r="H127" s="144"/>
      <c r="I127" s="135" t="str">
        <f t="shared" si="69"/>
        <v>ABS</v>
      </c>
      <c r="J127" s="144"/>
      <c r="K127" s="135" t="str">
        <f t="shared" si="42"/>
        <v>ABS</v>
      </c>
      <c r="L127" s="192" t="str">
        <f t="shared" si="43"/>
        <v>ABS</v>
      </c>
      <c r="M127" s="154" t="str">
        <f t="shared" si="44"/>
        <v>ABS</v>
      </c>
      <c r="N127" s="134" t="s">
        <v>30</v>
      </c>
      <c r="O127" s="144"/>
      <c r="P127" s="135" t="str">
        <f t="shared" si="70"/>
        <v>ABS</v>
      </c>
      <c r="Q127" s="144"/>
      <c r="R127" s="135" t="str">
        <f t="shared" si="46"/>
        <v>ABS</v>
      </c>
      <c r="S127" s="193" t="str">
        <f t="shared" si="47"/>
        <v>ABS</v>
      </c>
      <c r="T127" s="154" t="str">
        <f t="shared" si="48"/>
        <v>ABS</v>
      </c>
      <c r="U127" s="137" t="s">
        <v>32</v>
      </c>
      <c r="V127" s="144"/>
      <c r="W127" s="135" t="str">
        <f t="shared" si="71"/>
        <v>ABS</v>
      </c>
      <c r="X127" s="144"/>
      <c r="Y127" s="135" t="str">
        <f t="shared" si="50"/>
        <v>ABS</v>
      </c>
      <c r="Z127" s="193" t="str">
        <f t="shared" si="51"/>
        <v>ABS</v>
      </c>
      <c r="AA127" s="154" t="str">
        <f t="shared" si="52"/>
        <v>ABS</v>
      </c>
      <c r="AB127" s="145"/>
      <c r="AC127" s="144"/>
      <c r="AD127" s="135" t="str">
        <f t="shared" si="72"/>
        <v>ABS</v>
      </c>
      <c r="AE127" s="144"/>
      <c r="AF127" s="135" t="str">
        <f t="shared" si="54"/>
        <v>ABS</v>
      </c>
      <c r="AG127" s="193" t="str">
        <f t="shared" si="55"/>
        <v>ABS</v>
      </c>
      <c r="AH127" s="154" t="str">
        <f t="shared" si="56"/>
        <v>ABS</v>
      </c>
      <c r="AI127" s="145"/>
      <c r="AJ127" s="144"/>
      <c r="AK127" s="135" t="str">
        <f t="shared" si="73"/>
        <v>ABS</v>
      </c>
      <c r="AL127" s="144"/>
      <c r="AM127" s="135" t="str">
        <f t="shared" si="58"/>
        <v>ABS</v>
      </c>
      <c r="AN127" s="193" t="str">
        <f t="shared" si="59"/>
        <v>ABS</v>
      </c>
      <c r="AO127" s="154" t="str">
        <f t="shared" si="60"/>
        <v>ABS</v>
      </c>
      <c r="AP127" s="145"/>
      <c r="AQ127" s="144"/>
      <c r="AR127" s="138" t="str">
        <f t="shared" si="61"/>
        <v>ABS</v>
      </c>
      <c r="AS127" s="144"/>
      <c r="AT127" s="135" t="str">
        <f t="shared" si="62"/>
        <v>ABS</v>
      </c>
      <c r="AU127" s="193" t="str">
        <f t="shared" si="63"/>
        <v>ABS</v>
      </c>
      <c r="AV127" s="154" t="str">
        <f t="shared" si="64"/>
        <v>ABS</v>
      </c>
      <c r="AW127" s="144"/>
      <c r="AX127" s="129"/>
      <c r="AY127" s="128"/>
      <c r="AZ127" s="135" t="str">
        <f t="shared" si="65"/>
        <v>ABS</v>
      </c>
      <c r="BA127" s="128"/>
      <c r="BB127" s="135" t="str">
        <f t="shared" si="66"/>
        <v>ABS</v>
      </c>
      <c r="BC127" s="193" t="str">
        <f t="shared" si="67"/>
        <v>ABS</v>
      </c>
      <c r="BD127" s="188" t="str">
        <f t="shared" si="68"/>
        <v>ABS</v>
      </c>
    </row>
    <row r="128" spans="2:56" ht="15.5">
      <c r="B128" s="191">
        <v>124</v>
      </c>
      <c r="C128" s="101"/>
      <c r="D128" s="101"/>
      <c r="E128" s="125"/>
      <c r="F128" s="116"/>
      <c r="G128" s="134" t="s">
        <v>23</v>
      </c>
      <c r="H128" s="144"/>
      <c r="I128" s="135" t="str">
        <f t="shared" si="69"/>
        <v>ABS</v>
      </c>
      <c r="J128" s="144"/>
      <c r="K128" s="135" t="str">
        <f t="shared" si="42"/>
        <v>ABS</v>
      </c>
      <c r="L128" s="192" t="str">
        <f t="shared" si="43"/>
        <v>ABS</v>
      </c>
      <c r="M128" s="154" t="str">
        <f t="shared" si="44"/>
        <v>ABS</v>
      </c>
      <c r="N128" s="134" t="s">
        <v>30</v>
      </c>
      <c r="O128" s="144"/>
      <c r="P128" s="135" t="str">
        <f t="shared" si="70"/>
        <v>ABS</v>
      </c>
      <c r="Q128" s="144"/>
      <c r="R128" s="135" t="str">
        <f t="shared" si="46"/>
        <v>ABS</v>
      </c>
      <c r="S128" s="193" t="str">
        <f t="shared" si="47"/>
        <v>ABS</v>
      </c>
      <c r="T128" s="154" t="str">
        <f t="shared" si="48"/>
        <v>ABS</v>
      </c>
      <c r="U128" s="137" t="s">
        <v>32</v>
      </c>
      <c r="V128" s="144"/>
      <c r="W128" s="135" t="str">
        <f t="shared" si="71"/>
        <v>ABS</v>
      </c>
      <c r="X128" s="144"/>
      <c r="Y128" s="135" t="str">
        <f t="shared" si="50"/>
        <v>ABS</v>
      </c>
      <c r="Z128" s="193" t="str">
        <f t="shared" si="51"/>
        <v>ABS</v>
      </c>
      <c r="AA128" s="154" t="str">
        <f t="shared" si="52"/>
        <v>ABS</v>
      </c>
      <c r="AB128" s="145"/>
      <c r="AC128" s="144"/>
      <c r="AD128" s="135" t="str">
        <f t="shared" si="72"/>
        <v>ABS</v>
      </c>
      <c r="AE128" s="144"/>
      <c r="AF128" s="135" t="str">
        <f t="shared" si="54"/>
        <v>ABS</v>
      </c>
      <c r="AG128" s="193" t="str">
        <f t="shared" si="55"/>
        <v>ABS</v>
      </c>
      <c r="AH128" s="154" t="str">
        <f t="shared" si="56"/>
        <v>ABS</v>
      </c>
      <c r="AI128" s="145"/>
      <c r="AJ128" s="144"/>
      <c r="AK128" s="135" t="str">
        <f t="shared" si="73"/>
        <v>ABS</v>
      </c>
      <c r="AL128" s="144"/>
      <c r="AM128" s="135" t="str">
        <f t="shared" si="58"/>
        <v>ABS</v>
      </c>
      <c r="AN128" s="193" t="str">
        <f t="shared" si="59"/>
        <v>ABS</v>
      </c>
      <c r="AO128" s="154" t="str">
        <f t="shared" si="60"/>
        <v>ABS</v>
      </c>
      <c r="AP128" s="145"/>
      <c r="AQ128" s="144"/>
      <c r="AR128" s="138" t="str">
        <f t="shared" si="61"/>
        <v>ABS</v>
      </c>
      <c r="AS128" s="144"/>
      <c r="AT128" s="135" t="str">
        <f t="shared" si="62"/>
        <v>ABS</v>
      </c>
      <c r="AU128" s="193" t="str">
        <f t="shared" si="63"/>
        <v>ABS</v>
      </c>
      <c r="AV128" s="154" t="str">
        <f t="shared" si="64"/>
        <v>ABS</v>
      </c>
      <c r="AW128" s="144"/>
      <c r="AX128" s="129"/>
      <c r="AY128" s="128"/>
      <c r="AZ128" s="135" t="str">
        <f t="shared" si="65"/>
        <v>ABS</v>
      </c>
      <c r="BA128" s="128"/>
      <c r="BB128" s="135" t="str">
        <f t="shared" si="66"/>
        <v>ABS</v>
      </c>
      <c r="BC128" s="193" t="str">
        <f t="shared" si="67"/>
        <v>ABS</v>
      </c>
      <c r="BD128" s="188" t="str">
        <f t="shared" si="68"/>
        <v>ABS</v>
      </c>
    </row>
    <row r="129" spans="2:56" ht="15.5">
      <c r="B129" s="191">
        <v>125</v>
      </c>
      <c r="C129" s="101"/>
      <c r="D129" s="101"/>
      <c r="E129" s="125"/>
      <c r="F129" s="116"/>
      <c r="G129" s="134" t="s">
        <v>23</v>
      </c>
      <c r="H129" s="144"/>
      <c r="I129" s="135" t="str">
        <f t="shared" si="69"/>
        <v>ABS</v>
      </c>
      <c r="J129" s="144"/>
      <c r="K129" s="135" t="str">
        <f t="shared" si="42"/>
        <v>ABS</v>
      </c>
      <c r="L129" s="192" t="str">
        <f t="shared" si="43"/>
        <v>ABS</v>
      </c>
      <c r="M129" s="154" t="str">
        <f t="shared" si="44"/>
        <v>ABS</v>
      </c>
      <c r="N129" s="134" t="s">
        <v>30</v>
      </c>
      <c r="O129" s="144"/>
      <c r="P129" s="135" t="str">
        <f t="shared" si="70"/>
        <v>ABS</v>
      </c>
      <c r="Q129" s="144"/>
      <c r="R129" s="135" t="str">
        <f t="shared" si="46"/>
        <v>ABS</v>
      </c>
      <c r="S129" s="193" t="str">
        <f t="shared" si="47"/>
        <v>ABS</v>
      </c>
      <c r="T129" s="154" t="str">
        <f t="shared" si="48"/>
        <v>ABS</v>
      </c>
      <c r="U129" s="137" t="s">
        <v>32</v>
      </c>
      <c r="V129" s="144"/>
      <c r="W129" s="135" t="str">
        <f t="shared" si="71"/>
        <v>ABS</v>
      </c>
      <c r="X129" s="144"/>
      <c r="Y129" s="135" t="str">
        <f t="shared" si="50"/>
        <v>ABS</v>
      </c>
      <c r="Z129" s="193" t="str">
        <f t="shared" si="51"/>
        <v>ABS</v>
      </c>
      <c r="AA129" s="154" t="str">
        <f t="shared" si="52"/>
        <v>ABS</v>
      </c>
      <c r="AB129" s="145"/>
      <c r="AC129" s="144"/>
      <c r="AD129" s="135" t="str">
        <f t="shared" si="72"/>
        <v>ABS</v>
      </c>
      <c r="AE129" s="144"/>
      <c r="AF129" s="135" t="str">
        <f t="shared" si="54"/>
        <v>ABS</v>
      </c>
      <c r="AG129" s="193" t="str">
        <f t="shared" si="55"/>
        <v>ABS</v>
      </c>
      <c r="AH129" s="154" t="str">
        <f t="shared" si="56"/>
        <v>ABS</v>
      </c>
      <c r="AI129" s="145"/>
      <c r="AJ129" s="144"/>
      <c r="AK129" s="135" t="str">
        <f t="shared" si="73"/>
        <v>ABS</v>
      </c>
      <c r="AL129" s="144"/>
      <c r="AM129" s="135" t="str">
        <f t="shared" si="58"/>
        <v>ABS</v>
      </c>
      <c r="AN129" s="193" t="str">
        <f t="shared" si="59"/>
        <v>ABS</v>
      </c>
      <c r="AO129" s="154" t="str">
        <f t="shared" si="60"/>
        <v>ABS</v>
      </c>
      <c r="AP129" s="145"/>
      <c r="AQ129" s="144"/>
      <c r="AR129" s="138" t="str">
        <f t="shared" si="61"/>
        <v>ABS</v>
      </c>
      <c r="AS129" s="144"/>
      <c r="AT129" s="135" t="str">
        <f t="shared" si="62"/>
        <v>ABS</v>
      </c>
      <c r="AU129" s="193" t="str">
        <f t="shared" si="63"/>
        <v>ABS</v>
      </c>
      <c r="AV129" s="154" t="str">
        <f t="shared" si="64"/>
        <v>ABS</v>
      </c>
      <c r="AW129" s="144"/>
      <c r="AX129" s="129"/>
      <c r="AY129" s="128"/>
      <c r="AZ129" s="135" t="str">
        <f t="shared" si="65"/>
        <v>ABS</v>
      </c>
      <c r="BA129" s="128"/>
      <c r="BB129" s="135" t="str">
        <f t="shared" si="66"/>
        <v>ABS</v>
      </c>
      <c r="BC129" s="193" t="str">
        <f t="shared" si="67"/>
        <v>ABS</v>
      </c>
      <c r="BD129" s="188" t="str">
        <f t="shared" si="68"/>
        <v>ABS</v>
      </c>
    </row>
    <row r="130" spans="2:56" ht="15.5">
      <c r="B130" s="191">
        <v>126</v>
      </c>
      <c r="C130" s="101"/>
      <c r="D130" s="101"/>
      <c r="E130" s="125"/>
      <c r="F130" s="116"/>
      <c r="G130" s="134" t="s">
        <v>23</v>
      </c>
      <c r="H130" s="144"/>
      <c r="I130" s="135" t="str">
        <f t="shared" si="69"/>
        <v>ABS</v>
      </c>
      <c r="J130" s="144"/>
      <c r="K130" s="135" t="str">
        <f t="shared" si="42"/>
        <v>ABS</v>
      </c>
      <c r="L130" s="192" t="str">
        <f t="shared" si="43"/>
        <v>ABS</v>
      </c>
      <c r="M130" s="154" t="str">
        <f t="shared" si="44"/>
        <v>ABS</v>
      </c>
      <c r="N130" s="134" t="s">
        <v>30</v>
      </c>
      <c r="O130" s="144"/>
      <c r="P130" s="135" t="str">
        <f t="shared" si="70"/>
        <v>ABS</v>
      </c>
      <c r="Q130" s="144"/>
      <c r="R130" s="135" t="str">
        <f t="shared" si="46"/>
        <v>ABS</v>
      </c>
      <c r="S130" s="193" t="str">
        <f t="shared" si="47"/>
        <v>ABS</v>
      </c>
      <c r="T130" s="154" t="str">
        <f t="shared" si="48"/>
        <v>ABS</v>
      </c>
      <c r="U130" s="137" t="s">
        <v>32</v>
      </c>
      <c r="V130" s="144"/>
      <c r="W130" s="135" t="str">
        <f t="shared" si="71"/>
        <v>ABS</v>
      </c>
      <c r="X130" s="144"/>
      <c r="Y130" s="135" t="str">
        <f t="shared" si="50"/>
        <v>ABS</v>
      </c>
      <c r="Z130" s="193" t="str">
        <f t="shared" si="51"/>
        <v>ABS</v>
      </c>
      <c r="AA130" s="154" t="str">
        <f t="shared" si="52"/>
        <v>ABS</v>
      </c>
      <c r="AB130" s="145"/>
      <c r="AC130" s="144"/>
      <c r="AD130" s="135" t="str">
        <f t="shared" si="72"/>
        <v>ABS</v>
      </c>
      <c r="AE130" s="144"/>
      <c r="AF130" s="135" t="str">
        <f t="shared" si="54"/>
        <v>ABS</v>
      </c>
      <c r="AG130" s="193" t="str">
        <f t="shared" si="55"/>
        <v>ABS</v>
      </c>
      <c r="AH130" s="154" t="str">
        <f t="shared" si="56"/>
        <v>ABS</v>
      </c>
      <c r="AI130" s="145"/>
      <c r="AJ130" s="144"/>
      <c r="AK130" s="135" t="str">
        <f t="shared" si="73"/>
        <v>ABS</v>
      </c>
      <c r="AL130" s="144"/>
      <c r="AM130" s="135" t="str">
        <f t="shared" si="58"/>
        <v>ABS</v>
      </c>
      <c r="AN130" s="193" t="str">
        <f t="shared" si="59"/>
        <v>ABS</v>
      </c>
      <c r="AO130" s="154" t="str">
        <f t="shared" si="60"/>
        <v>ABS</v>
      </c>
      <c r="AP130" s="145"/>
      <c r="AQ130" s="144"/>
      <c r="AR130" s="138" t="str">
        <f t="shared" si="61"/>
        <v>ABS</v>
      </c>
      <c r="AS130" s="144"/>
      <c r="AT130" s="135" t="str">
        <f t="shared" si="62"/>
        <v>ABS</v>
      </c>
      <c r="AU130" s="193" t="str">
        <f t="shared" si="63"/>
        <v>ABS</v>
      </c>
      <c r="AV130" s="154" t="str">
        <f t="shared" si="64"/>
        <v>ABS</v>
      </c>
      <c r="AW130" s="144"/>
      <c r="AX130" s="129"/>
      <c r="AY130" s="128"/>
      <c r="AZ130" s="135" t="str">
        <f t="shared" si="65"/>
        <v>ABS</v>
      </c>
      <c r="BA130" s="128"/>
      <c r="BB130" s="135" t="str">
        <f t="shared" si="66"/>
        <v>ABS</v>
      </c>
      <c r="BC130" s="193" t="str">
        <f t="shared" si="67"/>
        <v>ABS</v>
      </c>
      <c r="BD130" s="188" t="str">
        <f t="shared" si="68"/>
        <v>ABS</v>
      </c>
    </row>
    <row r="131" spans="2:56" ht="15.5">
      <c r="B131" s="191">
        <v>127</v>
      </c>
      <c r="C131" s="101"/>
      <c r="D131" s="101"/>
      <c r="E131" s="125"/>
      <c r="F131" s="116"/>
      <c r="G131" s="134" t="s">
        <v>23</v>
      </c>
      <c r="H131" s="144"/>
      <c r="I131" s="135" t="str">
        <f t="shared" si="69"/>
        <v>ABS</v>
      </c>
      <c r="J131" s="144"/>
      <c r="K131" s="135" t="str">
        <f t="shared" si="42"/>
        <v>ABS</v>
      </c>
      <c r="L131" s="192" t="str">
        <f t="shared" si="43"/>
        <v>ABS</v>
      </c>
      <c r="M131" s="154" t="str">
        <f t="shared" si="44"/>
        <v>ABS</v>
      </c>
      <c r="N131" s="134" t="s">
        <v>30</v>
      </c>
      <c r="O131" s="144"/>
      <c r="P131" s="135" t="str">
        <f t="shared" si="70"/>
        <v>ABS</v>
      </c>
      <c r="Q131" s="144"/>
      <c r="R131" s="135" t="str">
        <f t="shared" si="46"/>
        <v>ABS</v>
      </c>
      <c r="S131" s="193" t="str">
        <f t="shared" si="47"/>
        <v>ABS</v>
      </c>
      <c r="T131" s="154" t="str">
        <f t="shared" si="48"/>
        <v>ABS</v>
      </c>
      <c r="U131" s="137" t="s">
        <v>32</v>
      </c>
      <c r="V131" s="144"/>
      <c r="W131" s="135" t="str">
        <f t="shared" si="71"/>
        <v>ABS</v>
      </c>
      <c r="X131" s="144"/>
      <c r="Y131" s="135" t="str">
        <f t="shared" si="50"/>
        <v>ABS</v>
      </c>
      <c r="Z131" s="193" t="str">
        <f t="shared" si="51"/>
        <v>ABS</v>
      </c>
      <c r="AA131" s="154" t="str">
        <f t="shared" si="52"/>
        <v>ABS</v>
      </c>
      <c r="AB131" s="145"/>
      <c r="AC131" s="144"/>
      <c r="AD131" s="135" t="str">
        <f t="shared" si="72"/>
        <v>ABS</v>
      </c>
      <c r="AE131" s="144"/>
      <c r="AF131" s="135" t="str">
        <f t="shared" si="54"/>
        <v>ABS</v>
      </c>
      <c r="AG131" s="193" t="str">
        <f t="shared" si="55"/>
        <v>ABS</v>
      </c>
      <c r="AH131" s="154" t="str">
        <f t="shared" si="56"/>
        <v>ABS</v>
      </c>
      <c r="AI131" s="145"/>
      <c r="AJ131" s="144"/>
      <c r="AK131" s="135" t="str">
        <f t="shared" si="73"/>
        <v>ABS</v>
      </c>
      <c r="AL131" s="144"/>
      <c r="AM131" s="135" t="str">
        <f t="shared" si="58"/>
        <v>ABS</v>
      </c>
      <c r="AN131" s="193" t="str">
        <f t="shared" si="59"/>
        <v>ABS</v>
      </c>
      <c r="AO131" s="154" t="str">
        <f t="shared" si="60"/>
        <v>ABS</v>
      </c>
      <c r="AP131" s="145"/>
      <c r="AQ131" s="144"/>
      <c r="AR131" s="138" t="str">
        <f t="shared" si="61"/>
        <v>ABS</v>
      </c>
      <c r="AS131" s="144"/>
      <c r="AT131" s="135" t="str">
        <f t="shared" si="62"/>
        <v>ABS</v>
      </c>
      <c r="AU131" s="193" t="str">
        <f t="shared" si="63"/>
        <v>ABS</v>
      </c>
      <c r="AV131" s="154" t="str">
        <f t="shared" si="64"/>
        <v>ABS</v>
      </c>
      <c r="AW131" s="144"/>
      <c r="AX131" s="129"/>
      <c r="AY131" s="128"/>
      <c r="AZ131" s="135" t="str">
        <f t="shared" si="65"/>
        <v>ABS</v>
      </c>
      <c r="BA131" s="128"/>
      <c r="BB131" s="135" t="str">
        <f t="shared" si="66"/>
        <v>ABS</v>
      </c>
      <c r="BC131" s="193" t="str">
        <f t="shared" si="67"/>
        <v>ABS</v>
      </c>
      <c r="BD131" s="188" t="str">
        <f t="shared" si="68"/>
        <v>ABS</v>
      </c>
    </row>
    <row r="132" spans="2:56" ht="15.5">
      <c r="B132" s="191">
        <v>128</v>
      </c>
      <c r="C132" s="101"/>
      <c r="D132" s="101"/>
      <c r="E132" s="125"/>
      <c r="F132" s="116"/>
      <c r="G132" s="134" t="s">
        <v>23</v>
      </c>
      <c r="H132" s="144"/>
      <c r="I132" s="135" t="str">
        <f t="shared" si="69"/>
        <v>ABS</v>
      </c>
      <c r="J132" s="144"/>
      <c r="K132" s="135" t="str">
        <f t="shared" si="42"/>
        <v>ABS</v>
      </c>
      <c r="L132" s="192" t="str">
        <f t="shared" si="43"/>
        <v>ABS</v>
      </c>
      <c r="M132" s="154" t="str">
        <f t="shared" si="44"/>
        <v>ABS</v>
      </c>
      <c r="N132" s="134" t="s">
        <v>30</v>
      </c>
      <c r="O132" s="144"/>
      <c r="P132" s="135" t="str">
        <f t="shared" si="70"/>
        <v>ABS</v>
      </c>
      <c r="Q132" s="144"/>
      <c r="R132" s="135" t="str">
        <f t="shared" si="46"/>
        <v>ABS</v>
      </c>
      <c r="S132" s="193" t="str">
        <f t="shared" si="47"/>
        <v>ABS</v>
      </c>
      <c r="T132" s="154" t="str">
        <f t="shared" si="48"/>
        <v>ABS</v>
      </c>
      <c r="U132" s="137" t="s">
        <v>32</v>
      </c>
      <c r="V132" s="144"/>
      <c r="W132" s="135" t="str">
        <f t="shared" si="71"/>
        <v>ABS</v>
      </c>
      <c r="X132" s="144"/>
      <c r="Y132" s="135" t="str">
        <f t="shared" si="50"/>
        <v>ABS</v>
      </c>
      <c r="Z132" s="193" t="str">
        <f t="shared" si="51"/>
        <v>ABS</v>
      </c>
      <c r="AA132" s="154" t="str">
        <f t="shared" si="52"/>
        <v>ABS</v>
      </c>
      <c r="AB132" s="145"/>
      <c r="AC132" s="144"/>
      <c r="AD132" s="135" t="str">
        <f t="shared" si="72"/>
        <v>ABS</v>
      </c>
      <c r="AE132" s="144"/>
      <c r="AF132" s="135" t="str">
        <f t="shared" si="54"/>
        <v>ABS</v>
      </c>
      <c r="AG132" s="193" t="str">
        <f t="shared" si="55"/>
        <v>ABS</v>
      </c>
      <c r="AH132" s="154" t="str">
        <f t="shared" si="56"/>
        <v>ABS</v>
      </c>
      <c r="AI132" s="145"/>
      <c r="AJ132" s="144"/>
      <c r="AK132" s="135" t="str">
        <f t="shared" si="73"/>
        <v>ABS</v>
      </c>
      <c r="AL132" s="144"/>
      <c r="AM132" s="135" t="str">
        <f t="shared" si="58"/>
        <v>ABS</v>
      </c>
      <c r="AN132" s="193" t="str">
        <f t="shared" si="59"/>
        <v>ABS</v>
      </c>
      <c r="AO132" s="154" t="str">
        <f t="shared" si="60"/>
        <v>ABS</v>
      </c>
      <c r="AP132" s="145"/>
      <c r="AQ132" s="144"/>
      <c r="AR132" s="138" t="str">
        <f t="shared" si="61"/>
        <v>ABS</v>
      </c>
      <c r="AS132" s="144"/>
      <c r="AT132" s="135" t="str">
        <f t="shared" si="62"/>
        <v>ABS</v>
      </c>
      <c r="AU132" s="193" t="str">
        <f t="shared" si="63"/>
        <v>ABS</v>
      </c>
      <c r="AV132" s="154" t="str">
        <f t="shared" si="64"/>
        <v>ABS</v>
      </c>
      <c r="AW132" s="144"/>
      <c r="AX132" s="129"/>
      <c r="AY132" s="128"/>
      <c r="AZ132" s="135" t="str">
        <f t="shared" si="65"/>
        <v>ABS</v>
      </c>
      <c r="BA132" s="128"/>
      <c r="BB132" s="135" t="str">
        <f t="shared" si="66"/>
        <v>ABS</v>
      </c>
      <c r="BC132" s="193" t="str">
        <f t="shared" si="67"/>
        <v>ABS</v>
      </c>
      <c r="BD132" s="188" t="str">
        <f t="shared" si="68"/>
        <v>ABS</v>
      </c>
    </row>
    <row r="133" spans="2:56" ht="15.5">
      <c r="B133" s="191">
        <v>129</v>
      </c>
      <c r="C133" s="101"/>
      <c r="D133" s="101"/>
      <c r="E133" s="125"/>
      <c r="F133" s="116"/>
      <c r="G133" s="134" t="s">
        <v>23</v>
      </c>
      <c r="H133" s="144"/>
      <c r="I133" s="135" t="str">
        <f t="shared" si="69"/>
        <v>ABS</v>
      </c>
      <c r="J133" s="144"/>
      <c r="K133" s="135" t="str">
        <f t="shared" si="42"/>
        <v>ABS</v>
      </c>
      <c r="L133" s="192" t="str">
        <f t="shared" si="43"/>
        <v>ABS</v>
      </c>
      <c r="M133" s="154" t="str">
        <f t="shared" si="44"/>
        <v>ABS</v>
      </c>
      <c r="N133" s="134" t="s">
        <v>30</v>
      </c>
      <c r="O133" s="144"/>
      <c r="P133" s="135" t="str">
        <f t="shared" si="70"/>
        <v>ABS</v>
      </c>
      <c r="Q133" s="144"/>
      <c r="R133" s="135" t="str">
        <f t="shared" si="46"/>
        <v>ABS</v>
      </c>
      <c r="S133" s="193" t="str">
        <f t="shared" si="47"/>
        <v>ABS</v>
      </c>
      <c r="T133" s="154" t="str">
        <f t="shared" si="48"/>
        <v>ABS</v>
      </c>
      <c r="U133" s="137" t="s">
        <v>32</v>
      </c>
      <c r="V133" s="144"/>
      <c r="W133" s="135" t="str">
        <f t="shared" si="71"/>
        <v>ABS</v>
      </c>
      <c r="X133" s="144"/>
      <c r="Y133" s="135" t="str">
        <f t="shared" si="50"/>
        <v>ABS</v>
      </c>
      <c r="Z133" s="193" t="str">
        <f t="shared" si="51"/>
        <v>ABS</v>
      </c>
      <c r="AA133" s="154" t="str">
        <f t="shared" si="52"/>
        <v>ABS</v>
      </c>
      <c r="AB133" s="145"/>
      <c r="AC133" s="144"/>
      <c r="AD133" s="135" t="str">
        <f t="shared" si="72"/>
        <v>ABS</v>
      </c>
      <c r="AE133" s="144"/>
      <c r="AF133" s="135" t="str">
        <f t="shared" si="54"/>
        <v>ABS</v>
      </c>
      <c r="AG133" s="193" t="str">
        <f t="shared" si="55"/>
        <v>ABS</v>
      </c>
      <c r="AH133" s="154" t="str">
        <f t="shared" si="56"/>
        <v>ABS</v>
      </c>
      <c r="AI133" s="145"/>
      <c r="AJ133" s="144"/>
      <c r="AK133" s="135" t="str">
        <f t="shared" si="73"/>
        <v>ABS</v>
      </c>
      <c r="AL133" s="144"/>
      <c r="AM133" s="135" t="str">
        <f t="shared" si="58"/>
        <v>ABS</v>
      </c>
      <c r="AN133" s="193" t="str">
        <f t="shared" si="59"/>
        <v>ABS</v>
      </c>
      <c r="AO133" s="154" t="str">
        <f t="shared" si="60"/>
        <v>ABS</v>
      </c>
      <c r="AP133" s="145"/>
      <c r="AQ133" s="144"/>
      <c r="AR133" s="138" t="str">
        <f t="shared" si="61"/>
        <v>ABS</v>
      </c>
      <c r="AS133" s="144"/>
      <c r="AT133" s="135" t="str">
        <f t="shared" si="62"/>
        <v>ABS</v>
      </c>
      <c r="AU133" s="193" t="str">
        <f t="shared" si="63"/>
        <v>ABS</v>
      </c>
      <c r="AV133" s="154" t="str">
        <f t="shared" si="64"/>
        <v>ABS</v>
      </c>
      <c r="AW133" s="144"/>
      <c r="AX133" s="129"/>
      <c r="AY133" s="128"/>
      <c r="AZ133" s="135" t="str">
        <f t="shared" si="65"/>
        <v>ABS</v>
      </c>
      <c r="BA133" s="128"/>
      <c r="BB133" s="135" t="str">
        <f t="shared" si="66"/>
        <v>ABS</v>
      </c>
      <c r="BC133" s="193" t="str">
        <f t="shared" si="67"/>
        <v>ABS</v>
      </c>
      <c r="BD133" s="188" t="str">
        <f t="shared" si="68"/>
        <v>ABS</v>
      </c>
    </row>
    <row r="134" spans="2:56" ht="15.5">
      <c r="B134" s="191">
        <v>130</v>
      </c>
      <c r="C134" s="101"/>
      <c r="D134" s="101"/>
      <c r="E134" s="125"/>
      <c r="F134" s="116"/>
      <c r="G134" s="134" t="s">
        <v>23</v>
      </c>
      <c r="H134" s="144"/>
      <c r="I134" s="135" t="str">
        <f t="shared" ref="I134:I154" si="74">IF(H134/H$4&gt;=0.9,"4.0",IF(H134/H$4&gt;=0.8,"3.6",IF(H134/H$4&gt;=0.7,"3.2",IF(H134/H$4&gt;=0.6,"2.8",IF(H134/H$4&gt;=0.5,"2.4",IF(H134/H$4&gt;=0.4,"2.0",IF(H134/H$4&gt;=0.35,"1.6",IF(H134/H$4&gt;0,"-","ABS"))))))))</f>
        <v>ABS</v>
      </c>
      <c r="J134" s="144"/>
      <c r="K134" s="135" t="str">
        <f t="shared" ref="K134:K154" si="75">IF(J134/J$4&gt;=0.9,"4.0",IF(J134/J$4&gt;=0.8,"3.6",IF(J134/J$4&gt;=0.7,"3.2",IF(J134/J$4&gt;=0.6,"2.8",IF(J134/J$4&gt;=0.5,"2.4",IF(J134/J$4&gt;=0.4,"2.0",IF(J134/J$4&gt;=0.35,"1.6",IF(J134/J$4&gt;0,"-","ABS"))))))))</f>
        <v>ABS</v>
      </c>
      <c r="L134" s="192" t="str">
        <f t="shared" ref="L134:L154" si="76">IFERROR(IF(I134="ABS","ABS",IF(I134="NG","NG",(I134*2.25+K134*0.75)/3)),"NG")</f>
        <v>ABS</v>
      </c>
      <c r="M134" s="154" t="str">
        <f t="shared" ref="M134:M154" si="77">IF(L134="ABS","ABS",IF(L134="NG","NG",IF(L134&gt;3.6,"A+",IF(L134&gt;3.2,"A",IF(L134&gt;2.8,"B+",IF(L134&gt;2.4,"B",IF(L134&gt;2,"C+",IF(L134&gt;1.6,"C",IF(L134&gt;0,"D","")))))))))</f>
        <v>ABS</v>
      </c>
      <c r="N134" s="134" t="s">
        <v>30</v>
      </c>
      <c r="O134" s="144"/>
      <c r="P134" s="135" t="str">
        <f t="shared" ref="P134:P154" si="78">IF(O134/O$4&gt;=0.9,"4.0",IF(O134/O$4&gt;=0.8,"3.6",IF(O134/O$4&gt;=0.7,"3.2",IF(O134/O$4&gt;=0.6,"2.8",IF(O134/O$4&gt;=0.5,"2.4",IF(O134/O$4&gt;=0.4,"2.0",IF(O134/O$4&gt;=0.35,"1.6",IF(O134/O$4&gt;0,"-","ABS"))))))))</f>
        <v>ABS</v>
      </c>
      <c r="Q134" s="144"/>
      <c r="R134" s="135" t="str">
        <f t="shared" ref="R134:R154" si="79">IF(Q134/Q$4&gt;=0.9,"4.0",IF(Q134/Q$4&gt;=0.8,"3.6",IF(Q134/Q$4&gt;=0.7,"3.2",IF(Q134/Q$4&gt;=0.6,"2.8",IF(Q134/Q$4&gt;=0.5,"2.4",IF(Q134/Q$4&gt;=0.4,"2.0",IF(Q134/Q$4&gt;=0.35,"1.6",IF(Q134/Q$4&gt;0,"-","ABS"))))))))</f>
        <v>ABS</v>
      </c>
      <c r="S134" s="193" t="str">
        <f t="shared" ref="S134:S154" si="80">IFERROR(IF(P134="ABS","ABS",IF(P134="NG","NG",(P134*3+R134*1)/4)),"NG")</f>
        <v>ABS</v>
      </c>
      <c r="T134" s="154" t="str">
        <f t="shared" ref="T134:T154" si="81">IF(S134="ABS","ABS",IF(S134="NG","NG",IF(S134&gt;3.6,"A+",IF(S134&gt;3.2,"A",IF(S134&gt;2.8,"B+",IF(S134&gt;2.4,"B",IF(S134&gt;2,"C+",IF(S134&gt;1.6,"C",IF(S134&gt;0,"D","")))))))))</f>
        <v>ABS</v>
      </c>
      <c r="U134" s="137" t="s">
        <v>32</v>
      </c>
      <c r="V134" s="144"/>
      <c r="W134" s="135" t="str">
        <f t="shared" ref="W134:W154" si="82">IF(V134/V$4&gt;=0.9,"4.0",IF(V134/V$4&gt;=0.8,"3.6",IF(V134/V$4&gt;=0.7,"3.2",IF(V134/V$4&gt;=0.6,"2.8",IF(V134/V$4&gt;=0.5,"2.4",IF(V134/V$4&gt;=0.4,"2.0",IF(V134/V$4&gt;=0.35,"1.6",IF(V134/V$4&gt;0,"-","ABS"))))))))</f>
        <v>ABS</v>
      </c>
      <c r="X134" s="144"/>
      <c r="Y134" s="135" t="str">
        <f t="shared" ref="Y134:Y154" si="83">IF(X134/X$4&gt;=0.9,"4.0",IF(X134/X$4&gt;=0.8,"3.6",IF(X134/X$4&gt;=0.7,"3.2",IF(X134/X$4&gt;=0.6,"2.8",IF(X134/X$4&gt;=0.5,"2.4",IF(X134/X$4&gt;=0.4,"2.0",IF(X134/X$4&gt;=0.35,"1.6",IF(X134/X$4&gt;0,"-","ABS"))))))))</f>
        <v>ABS</v>
      </c>
      <c r="Z134" s="193" t="str">
        <f t="shared" ref="Z134:Z154" si="84">IFERROR(IF(W134="ABS","ABS",IF(W134="NG","NG",(W134*3.75+Y134*1.25)/5)),"NG")</f>
        <v>ABS</v>
      </c>
      <c r="AA134" s="154" t="str">
        <f t="shared" ref="AA134:AA154" si="85">IF(Z134="ABS","ABS",IF(Z134="NG","NG",IF(Z134&gt;3.6,"A+",IF(Z134&gt;3.2,"A",IF(Z134&gt;2.8,"B+",IF(Z134&gt;2.4,"B",IF(Z134&gt;2,"C+",IF(Z134&gt;1.6,"C",IF(Z134&gt;0,"D","")))))))))</f>
        <v>ABS</v>
      </c>
      <c r="AB134" s="145"/>
      <c r="AC134" s="144"/>
      <c r="AD134" s="135" t="str">
        <f t="shared" ref="AD134:AD154" si="86">IF(AC134/AC$4&gt;=0.9,"4.0",IF(AC134/AC$4&gt;=0.8,"3.6",IF(AC134/AC$4&gt;=0.7,"3.2",IF(AC134/AC$4&gt;=0.6,"2.8",IF(AC134/AC$4&gt;=0.5,"2.4",IF(AC134/AC$4&gt;=0.4,"2.0",IF(AC134/AC$4&gt;=0.35,"1.6",IF(AC134/AC$4&gt;0,"-","ABS"))))))))</f>
        <v>ABS</v>
      </c>
      <c r="AE134" s="144"/>
      <c r="AF134" s="135" t="str">
        <f t="shared" ref="AF134:AF154" si="87">IF(AE134/AE$4&gt;=0.9,"4.0",IF(AE134/AE$4&gt;=0.8,"3.6",IF(AE134/AE$4&gt;=0.7,"3.2",IF(AE134/AE$4&gt;=0.6,"2.8",IF(AE134/AE$4&gt;=0.5,"2.4",IF(AE134/AE$4&gt;=0.4,"2.0",IF(AE134/AE$4&gt;=0.35,"1.6",IF(AE134/AE$4&gt;0,"-","ABS"))))))))</f>
        <v>ABS</v>
      </c>
      <c r="AG134" s="193" t="str">
        <f t="shared" ref="AG134:AG154" si="88">IFERROR(IF(AD134="ABS","ABS",IF(AD134="NG","NG",(AD134*3.75+AF134*1.25)/5)),"NG")</f>
        <v>ABS</v>
      </c>
      <c r="AH134" s="154" t="str">
        <f t="shared" ref="AH134:AH154" si="89">IF(AG134="ABS","ABS",IF(AG134="NG","NG",IF(AG134&gt;3.6,"A+",IF(AG134&gt;3.2,"A",IF(AG134&gt;2.8,"B+",IF(AG134&gt;2.4,"B",IF(AG134&gt;2,"C+",IF(AG134&gt;1.6,"C",IF(AG134&gt;0,"D","")))))))))</f>
        <v>ABS</v>
      </c>
      <c r="AI134" s="145"/>
      <c r="AJ134" s="144"/>
      <c r="AK134" s="135" t="str">
        <f t="shared" ref="AK134:AK154" si="90">IF(AJ134/AJ$4&gt;=0.9,"4.0",IF(AJ134/AJ$4&gt;=0.8,"3.6",IF(AJ134/AJ$4&gt;=0.7,"3.2",IF(AJ134/AJ$4&gt;=0.6,"2.8",IF(AJ134/AJ$4&gt;=0.5,"2.4",IF(AJ134/AJ$4&gt;=0.4,"2.0",IF(AJ134/AJ$4&gt;=0.35,"1.6",IF(AJ134/AJ$4&gt;0,"-","ABS"))))))))</f>
        <v>ABS</v>
      </c>
      <c r="AL134" s="144"/>
      <c r="AM134" s="135" t="str">
        <f t="shared" ref="AM134:AM154" si="91">IF(AL134/AL$4&gt;=0.9,"4.0",IF(AL134/AL$4&gt;=0.8,"3.6",IF(AL134/AL$4&gt;=0.7,"3.2",IF(AL134/AL$4&gt;=0.6,"2.8",IF(AL134/AL$4&gt;=0.5,"2.4",IF(AL134/AL$4&gt;=0.4,"2.0",IF(AL134/AL$4&gt;=0.35,"1.6",IF(AL134/AL$4&gt;0,"-","ABS"))))))))</f>
        <v>ABS</v>
      </c>
      <c r="AN134" s="193" t="str">
        <f t="shared" ref="AN134:AN154" si="92">IFERROR(IF(AK134="ABS","ABS",IF(AK134="NG","NG",(AK134*3.75+AM134*1.25)/5)),"NG")</f>
        <v>ABS</v>
      </c>
      <c r="AO134" s="154" t="str">
        <f t="shared" ref="AO134:AO154" si="93">IF(AN134="ABS","ABS",IF(AN134="NG","NG",IF(AN134&gt;3.6,"A+",IF(AN134&gt;3.2,"A",IF(AN134&gt;2.8,"B+",IF(AN134&gt;2.4,"B",IF(AN134&gt;2,"C+",IF(AN134&gt;1.6,"C",IF(AN134&gt;0,"D","")))))))))</f>
        <v>ABS</v>
      </c>
      <c r="AP134" s="145"/>
      <c r="AQ134" s="144"/>
      <c r="AR134" s="138" t="str">
        <f t="shared" ref="AR134:AR135" si="94">IF(AQ134/AQ$4&gt;=0.9,"4.0",IF(AQ134/AQ$4&gt;=0.8,"3.6",IF(AQ134/AQ$4&gt;=0.7,"3.2",IF(AQ134/AQ$4&gt;=0.6,"2.8",IF(AQ134/AQ$4&gt;=0.5,"2.4",IF(AQ134/AQ$4&gt;=0.4,"2.0",IF(AQ134/AQ$4&gt;=0.35,"1.6",IF(AQ134/AQ$4&gt;0,"-","ABS"))))))))</f>
        <v>ABS</v>
      </c>
      <c r="AS134" s="144"/>
      <c r="AT134" s="135" t="str">
        <f t="shared" ref="AT134:AT154" si="95">IF(AS134/AS$4&gt;=0.9,"4.0",IF(AS134/AS$4&gt;=0.8,"3.6",IF(AS134/AS$4&gt;=0.7,"3.2",IF(AS134/AS$4&gt;=0.6,"2.8",IF(AS134/AS$4&gt;=0.5,"2.4",IF(AS134/AS$4&gt;=0.4,"2.0",IF(AS134/AS$4&gt;=0.35,"1.6",IF(AS134/AS$4&gt;0,"-","ABS"))))))))</f>
        <v>ABS</v>
      </c>
      <c r="AU134" s="193" t="str">
        <f t="shared" ref="AU134:AU154" si="96">IFERROR(IF(AR134="ABS","ABS",IF(AR134="NG","NG",(AR134*3.75+AT134*1.25)/5)),"NG")</f>
        <v>ABS</v>
      </c>
      <c r="AV134" s="154" t="str">
        <f t="shared" ref="AV134:AV154" si="97">IF(AU134="ABS","ABS",IF(AU134="NG","NG",IF(AU134&gt;3.6,"A+",IF(AU134&gt;3.2,"A",IF(AU134&gt;2.8,"B+",IF(AU134&gt;2.4,"B",IF(AU134&gt;2,"C+",IF(AU134&gt;1.6,"C",IF(AU134&gt;0,"D","")))))))))</f>
        <v>ABS</v>
      </c>
      <c r="AW134" s="144"/>
      <c r="AX134" s="129"/>
      <c r="AY134" s="128"/>
      <c r="AZ134" s="135" t="str">
        <f t="shared" ref="AZ134:AZ154" si="98">IF(AY134/AY$4&gt;=0.9,"4.0",IF(AY134/AY$4&gt;=0.8,"3.6",IF(AY134/AY$4&gt;=0.7,"3.2",IF(AY134/AY$4&gt;=0.6,"2.8",IF(AY134/AY$4&gt;=0.5,"2.4",IF(AY134/AY$4&gt;=0.4,"2.0",IF(AY134/AY$4&gt;=0.35,"1.6",IF(AY134/AY$4&gt;0,"-","ABS"))))))))</f>
        <v>ABS</v>
      </c>
      <c r="BA134" s="128"/>
      <c r="BB134" s="135" t="str">
        <f t="shared" ref="BB134:BB154" si="99">IF(BA134/BA$4&gt;=0.9,"4.0",IF(BA134/BA$4&gt;=0.8,"3.6",IF(BA134/BA$4&gt;=0.7,"3.2",IF(BA134/BA$4&gt;=0.6,"2.8",IF(BA134/BA$4&gt;=0.5,"2.4",IF(BA134/BA$4&gt;=0.4,"2.0",IF(BA134/BA$4&gt;=0.35,"1.6",IF(BA134/BA$4&gt;0,"-","ABS"))))))))</f>
        <v>ABS</v>
      </c>
      <c r="BC134" s="193" t="str">
        <f t="shared" ref="BC134:BC154" si="100">IFERROR(IF(AZ134="ABS","ABS",IF(AZ134="NG","NG",(AZ134*3.75+BB134*1.25)/5)),"NG")</f>
        <v>ABS</v>
      </c>
      <c r="BD134" s="188" t="str">
        <f t="shared" ref="BD134:BD154" si="101">IF(BC134="ABS","ABS",IF(BC134="NG","NG",IF(BC134&gt;3.6,"A+",IF(BC134&gt;3.2,"A",IF(BC134&gt;2.8,"B+",IF(BC134&gt;2.4,"B",IF(BC134&gt;2,"C+",IF(BC134&gt;1.6,"C",IF(BC134&gt;0,"D","")))))))))</f>
        <v>ABS</v>
      </c>
    </row>
    <row r="135" spans="2:56" ht="15.5">
      <c r="B135" s="191">
        <v>131</v>
      </c>
      <c r="C135" s="101"/>
      <c r="D135" s="101"/>
      <c r="E135" s="125"/>
      <c r="F135" s="116"/>
      <c r="G135" s="134" t="s">
        <v>23</v>
      </c>
      <c r="H135" s="144"/>
      <c r="I135" s="135" t="str">
        <f t="shared" si="74"/>
        <v>ABS</v>
      </c>
      <c r="J135" s="144"/>
      <c r="K135" s="135" t="str">
        <f t="shared" si="75"/>
        <v>ABS</v>
      </c>
      <c r="L135" s="192" t="str">
        <f t="shared" si="76"/>
        <v>ABS</v>
      </c>
      <c r="M135" s="154" t="str">
        <f t="shared" si="77"/>
        <v>ABS</v>
      </c>
      <c r="N135" s="134" t="s">
        <v>30</v>
      </c>
      <c r="O135" s="144"/>
      <c r="P135" s="135" t="str">
        <f t="shared" si="78"/>
        <v>ABS</v>
      </c>
      <c r="Q135" s="144"/>
      <c r="R135" s="135" t="str">
        <f t="shared" si="79"/>
        <v>ABS</v>
      </c>
      <c r="S135" s="193" t="str">
        <f t="shared" si="80"/>
        <v>ABS</v>
      </c>
      <c r="T135" s="154" t="str">
        <f t="shared" si="81"/>
        <v>ABS</v>
      </c>
      <c r="U135" s="137" t="s">
        <v>32</v>
      </c>
      <c r="V135" s="144"/>
      <c r="W135" s="135" t="str">
        <f t="shared" si="82"/>
        <v>ABS</v>
      </c>
      <c r="X135" s="144"/>
      <c r="Y135" s="135" t="str">
        <f t="shared" si="83"/>
        <v>ABS</v>
      </c>
      <c r="Z135" s="193" t="str">
        <f t="shared" si="84"/>
        <v>ABS</v>
      </c>
      <c r="AA135" s="154" t="str">
        <f t="shared" si="85"/>
        <v>ABS</v>
      </c>
      <c r="AB135" s="145"/>
      <c r="AC135" s="144"/>
      <c r="AD135" s="135" t="str">
        <f t="shared" si="86"/>
        <v>ABS</v>
      </c>
      <c r="AE135" s="144"/>
      <c r="AF135" s="135" t="str">
        <f t="shared" si="87"/>
        <v>ABS</v>
      </c>
      <c r="AG135" s="193" t="str">
        <f t="shared" si="88"/>
        <v>ABS</v>
      </c>
      <c r="AH135" s="154" t="str">
        <f t="shared" si="89"/>
        <v>ABS</v>
      </c>
      <c r="AI135" s="145"/>
      <c r="AJ135" s="144"/>
      <c r="AK135" s="135" t="str">
        <f t="shared" si="90"/>
        <v>ABS</v>
      </c>
      <c r="AL135" s="144"/>
      <c r="AM135" s="135" t="str">
        <f t="shared" si="91"/>
        <v>ABS</v>
      </c>
      <c r="AN135" s="193" t="str">
        <f t="shared" si="92"/>
        <v>ABS</v>
      </c>
      <c r="AO135" s="154" t="str">
        <f t="shared" si="93"/>
        <v>ABS</v>
      </c>
      <c r="AP135" s="145"/>
      <c r="AQ135" s="144"/>
      <c r="AR135" s="138" t="str">
        <f t="shared" si="94"/>
        <v>ABS</v>
      </c>
      <c r="AS135" s="144"/>
      <c r="AT135" s="135" t="str">
        <f t="shared" si="95"/>
        <v>ABS</v>
      </c>
      <c r="AU135" s="193" t="str">
        <f t="shared" si="96"/>
        <v>ABS</v>
      </c>
      <c r="AV135" s="154" t="str">
        <f t="shared" si="97"/>
        <v>ABS</v>
      </c>
      <c r="AW135" s="144"/>
      <c r="AX135" s="129"/>
      <c r="AY135" s="128"/>
      <c r="AZ135" s="135" t="str">
        <f t="shared" si="98"/>
        <v>ABS</v>
      </c>
      <c r="BA135" s="128"/>
      <c r="BB135" s="135" t="str">
        <f t="shared" si="99"/>
        <v>ABS</v>
      </c>
      <c r="BC135" s="193" t="str">
        <f t="shared" si="100"/>
        <v>ABS</v>
      </c>
      <c r="BD135" s="188" t="str">
        <f t="shared" si="101"/>
        <v>ABS</v>
      </c>
    </row>
    <row r="136" spans="2:56" ht="15.5">
      <c r="B136" s="191">
        <v>132</v>
      </c>
      <c r="C136" s="101"/>
      <c r="D136" s="101"/>
      <c r="E136" s="125"/>
      <c r="F136" s="116"/>
      <c r="G136" s="134" t="s">
        <v>23</v>
      </c>
      <c r="H136" s="144"/>
      <c r="I136" s="135" t="str">
        <f t="shared" si="74"/>
        <v>ABS</v>
      </c>
      <c r="J136" s="144"/>
      <c r="K136" s="135" t="str">
        <f t="shared" si="75"/>
        <v>ABS</v>
      </c>
      <c r="L136" s="192" t="str">
        <f t="shared" si="76"/>
        <v>ABS</v>
      </c>
      <c r="M136" s="154" t="str">
        <f t="shared" si="77"/>
        <v>ABS</v>
      </c>
      <c r="N136" s="134" t="s">
        <v>30</v>
      </c>
      <c r="O136" s="144"/>
      <c r="P136" s="135" t="str">
        <f t="shared" si="78"/>
        <v>ABS</v>
      </c>
      <c r="Q136" s="144"/>
      <c r="R136" s="135" t="str">
        <f t="shared" si="79"/>
        <v>ABS</v>
      </c>
      <c r="S136" s="193" t="str">
        <f t="shared" si="80"/>
        <v>ABS</v>
      </c>
      <c r="T136" s="154" t="str">
        <f t="shared" si="81"/>
        <v>ABS</v>
      </c>
      <c r="U136" s="137" t="s">
        <v>32</v>
      </c>
      <c r="V136" s="144"/>
      <c r="W136" s="135" t="str">
        <f t="shared" si="82"/>
        <v>ABS</v>
      </c>
      <c r="X136" s="144"/>
      <c r="Y136" s="135" t="str">
        <f t="shared" si="83"/>
        <v>ABS</v>
      </c>
      <c r="Z136" s="193" t="str">
        <f t="shared" si="84"/>
        <v>ABS</v>
      </c>
      <c r="AA136" s="154" t="str">
        <f t="shared" si="85"/>
        <v>ABS</v>
      </c>
      <c r="AB136" s="145"/>
      <c r="AC136" s="144"/>
      <c r="AD136" s="135" t="str">
        <f t="shared" si="86"/>
        <v>ABS</v>
      </c>
      <c r="AE136" s="144"/>
      <c r="AF136" s="135" t="str">
        <f t="shared" si="87"/>
        <v>ABS</v>
      </c>
      <c r="AG136" s="193" t="str">
        <f t="shared" si="88"/>
        <v>ABS</v>
      </c>
      <c r="AH136" s="154" t="str">
        <f t="shared" si="89"/>
        <v>ABS</v>
      </c>
      <c r="AI136" s="145"/>
      <c r="AJ136" s="144"/>
      <c r="AK136" s="135" t="str">
        <f t="shared" si="90"/>
        <v>ABS</v>
      </c>
      <c r="AL136" s="144"/>
      <c r="AM136" s="135" t="str">
        <f t="shared" si="91"/>
        <v>ABS</v>
      </c>
      <c r="AN136" s="193" t="str">
        <f t="shared" si="92"/>
        <v>ABS</v>
      </c>
      <c r="AO136" s="154" t="str">
        <f t="shared" si="93"/>
        <v>ABS</v>
      </c>
      <c r="AP136" s="145"/>
      <c r="AQ136" s="144"/>
      <c r="AR136" s="135" t="str">
        <f t="shared" ref="AR136:AR154" si="102">IF(AQ136/AQ$4&gt;=0.9,"4.0",IF(AQ136/AQ$4&gt;=0.8,"3.6",IF(AQ136/AQ$4&gt;=0.7,"3.2",IF(AQ136/AQ$4&gt;=0.6,"2.8",IF(AQ136/AQ$4&gt;=0.5,"2.4",IF(AQ136/AQ$4&gt;=0.4,"2.0",IF(AQ136/AQ$4&gt;=0.35,"1.6",IF(AQ136/AQ$4&gt;0,"-","ABS"))))))))</f>
        <v>ABS</v>
      </c>
      <c r="AS136" s="144"/>
      <c r="AT136" s="135" t="str">
        <f t="shared" si="95"/>
        <v>ABS</v>
      </c>
      <c r="AU136" s="193" t="str">
        <f t="shared" si="96"/>
        <v>ABS</v>
      </c>
      <c r="AV136" s="154" t="str">
        <f t="shared" si="97"/>
        <v>ABS</v>
      </c>
      <c r="AW136" s="144"/>
      <c r="AX136" s="129"/>
      <c r="AY136" s="128"/>
      <c r="AZ136" s="135" t="str">
        <f t="shared" si="98"/>
        <v>ABS</v>
      </c>
      <c r="BA136" s="128"/>
      <c r="BB136" s="135" t="str">
        <f t="shared" si="99"/>
        <v>ABS</v>
      </c>
      <c r="BC136" s="193" t="str">
        <f t="shared" si="100"/>
        <v>ABS</v>
      </c>
      <c r="BD136" s="188" t="str">
        <f t="shared" si="101"/>
        <v>ABS</v>
      </c>
    </row>
    <row r="137" spans="2:56" ht="15.5">
      <c r="B137" s="191">
        <v>133</v>
      </c>
      <c r="C137" s="101"/>
      <c r="D137" s="101"/>
      <c r="E137" s="125"/>
      <c r="F137" s="116"/>
      <c r="G137" s="134" t="s">
        <v>23</v>
      </c>
      <c r="H137" s="144"/>
      <c r="I137" s="135" t="str">
        <f t="shared" si="74"/>
        <v>ABS</v>
      </c>
      <c r="J137" s="144"/>
      <c r="K137" s="135" t="str">
        <f t="shared" si="75"/>
        <v>ABS</v>
      </c>
      <c r="L137" s="192" t="str">
        <f t="shared" si="76"/>
        <v>ABS</v>
      </c>
      <c r="M137" s="154" t="str">
        <f t="shared" si="77"/>
        <v>ABS</v>
      </c>
      <c r="N137" s="134" t="s">
        <v>30</v>
      </c>
      <c r="O137" s="144"/>
      <c r="P137" s="135" t="str">
        <f t="shared" si="78"/>
        <v>ABS</v>
      </c>
      <c r="Q137" s="144"/>
      <c r="R137" s="135" t="str">
        <f t="shared" si="79"/>
        <v>ABS</v>
      </c>
      <c r="S137" s="193" t="str">
        <f t="shared" si="80"/>
        <v>ABS</v>
      </c>
      <c r="T137" s="154" t="str">
        <f t="shared" si="81"/>
        <v>ABS</v>
      </c>
      <c r="U137" s="137" t="s">
        <v>32</v>
      </c>
      <c r="V137" s="144"/>
      <c r="W137" s="135" t="str">
        <f t="shared" si="82"/>
        <v>ABS</v>
      </c>
      <c r="X137" s="144"/>
      <c r="Y137" s="135" t="str">
        <f t="shared" si="83"/>
        <v>ABS</v>
      </c>
      <c r="Z137" s="193" t="str">
        <f t="shared" si="84"/>
        <v>ABS</v>
      </c>
      <c r="AA137" s="154" t="str">
        <f t="shared" si="85"/>
        <v>ABS</v>
      </c>
      <c r="AB137" s="145"/>
      <c r="AC137" s="144"/>
      <c r="AD137" s="135" t="str">
        <f t="shared" si="86"/>
        <v>ABS</v>
      </c>
      <c r="AE137" s="144"/>
      <c r="AF137" s="135" t="str">
        <f t="shared" si="87"/>
        <v>ABS</v>
      </c>
      <c r="AG137" s="193" t="str">
        <f t="shared" si="88"/>
        <v>ABS</v>
      </c>
      <c r="AH137" s="154" t="str">
        <f t="shared" si="89"/>
        <v>ABS</v>
      </c>
      <c r="AI137" s="145"/>
      <c r="AJ137" s="144"/>
      <c r="AK137" s="135" t="str">
        <f t="shared" si="90"/>
        <v>ABS</v>
      </c>
      <c r="AL137" s="144"/>
      <c r="AM137" s="135" t="str">
        <f t="shared" si="91"/>
        <v>ABS</v>
      </c>
      <c r="AN137" s="193" t="str">
        <f t="shared" si="92"/>
        <v>ABS</v>
      </c>
      <c r="AO137" s="154" t="str">
        <f t="shared" si="93"/>
        <v>ABS</v>
      </c>
      <c r="AP137" s="145"/>
      <c r="AQ137" s="144"/>
      <c r="AR137" s="135" t="str">
        <f t="shared" si="102"/>
        <v>ABS</v>
      </c>
      <c r="AS137" s="144"/>
      <c r="AT137" s="135" t="str">
        <f t="shared" si="95"/>
        <v>ABS</v>
      </c>
      <c r="AU137" s="193" t="str">
        <f t="shared" si="96"/>
        <v>ABS</v>
      </c>
      <c r="AV137" s="154" t="str">
        <f t="shared" si="97"/>
        <v>ABS</v>
      </c>
      <c r="AW137" s="144"/>
      <c r="AX137" s="129"/>
      <c r="AY137" s="128"/>
      <c r="AZ137" s="135" t="str">
        <f t="shared" si="98"/>
        <v>ABS</v>
      </c>
      <c r="BA137" s="128"/>
      <c r="BB137" s="135" t="str">
        <f t="shared" si="99"/>
        <v>ABS</v>
      </c>
      <c r="BC137" s="193" t="str">
        <f t="shared" si="100"/>
        <v>ABS</v>
      </c>
      <c r="BD137" s="188" t="str">
        <f t="shared" si="101"/>
        <v>ABS</v>
      </c>
    </row>
    <row r="138" spans="2:56" ht="15.5">
      <c r="B138" s="191">
        <v>134</v>
      </c>
      <c r="C138" s="101"/>
      <c r="D138" s="101"/>
      <c r="E138" s="125"/>
      <c r="F138" s="116"/>
      <c r="G138" s="134" t="s">
        <v>23</v>
      </c>
      <c r="H138" s="144"/>
      <c r="I138" s="135" t="str">
        <f t="shared" si="74"/>
        <v>ABS</v>
      </c>
      <c r="J138" s="144"/>
      <c r="K138" s="135" t="str">
        <f t="shared" si="75"/>
        <v>ABS</v>
      </c>
      <c r="L138" s="192" t="str">
        <f t="shared" si="76"/>
        <v>ABS</v>
      </c>
      <c r="M138" s="154" t="str">
        <f t="shared" si="77"/>
        <v>ABS</v>
      </c>
      <c r="N138" s="134" t="s">
        <v>30</v>
      </c>
      <c r="O138" s="144"/>
      <c r="P138" s="135" t="str">
        <f t="shared" si="78"/>
        <v>ABS</v>
      </c>
      <c r="Q138" s="144"/>
      <c r="R138" s="135" t="str">
        <f t="shared" si="79"/>
        <v>ABS</v>
      </c>
      <c r="S138" s="193" t="str">
        <f t="shared" si="80"/>
        <v>ABS</v>
      </c>
      <c r="T138" s="154" t="str">
        <f t="shared" si="81"/>
        <v>ABS</v>
      </c>
      <c r="U138" s="137" t="s">
        <v>32</v>
      </c>
      <c r="V138" s="144"/>
      <c r="W138" s="135" t="str">
        <f t="shared" si="82"/>
        <v>ABS</v>
      </c>
      <c r="X138" s="144"/>
      <c r="Y138" s="135" t="str">
        <f t="shared" si="83"/>
        <v>ABS</v>
      </c>
      <c r="Z138" s="193" t="str">
        <f t="shared" si="84"/>
        <v>ABS</v>
      </c>
      <c r="AA138" s="154" t="str">
        <f t="shared" si="85"/>
        <v>ABS</v>
      </c>
      <c r="AB138" s="145"/>
      <c r="AC138" s="144"/>
      <c r="AD138" s="135" t="str">
        <f t="shared" si="86"/>
        <v>ABS</v>
      </c>
      <c r="AE138" s="144"/>
      <c r="AF138" s="135" t="str">
        <f t="shared" si="87"/>
        <v>ABS</v>
      </c>
      <c r="AG138" s="193" t="str">
        <f t="shared" si="88"/>
        <v>ABS</v>
      </c>
      <c r="AH138" s="154" t="str">
        <f t="shared" si="89"/>
        <v>ABS</v>
      </c>
      <c r="AI138" s="145"/>
      <c r="AJ138" s="144"/>
      <c r="AK138" s="135" t="str">
        <f t="shared" si="90"/>
        <v>ABS</v>
      </c>
      <c r="AL138" s="144"/>
      <c r="AM138" s="135" t="str">
        <f t="shared" si="91"/>
        <v>ABS</v>
      </c>
      <c r="AN138" s="193" t="str">
        <f t="shared" si="92"/>
        <v>ABS</v>
      </c>
      <c r="AO138" s="154" t="str">
        <f t="shared" si="93"/>
        <v>ABS</v>
      </c>
      <c r="AP138" s="145"/>
      <c r="AQ138" s="144"/>
      <c r="AR138" s="135" t="str">
        <f t="shared" si="102"/>
        <v>ABS</v>
      </c>
      <c r="AS138" s="144"/>
      <c r="AT138" s="135" t="str">
        <f t="shared" si="95"/>
        <v>ABS</v>
      </c>
      <c r="AU138" s="193" t="str">
        <f t="shared" si="96"/>
        <v>ABS</v>
      </c>
      <c r="AV138" s="154" t="str">
        <f t="shared" si="97"/>
        <v>ABS</v>
      </c>
      <c r="AW138" s="144"/>
      <c r="AX138" s="129"/>
      <c r="AY138" s="128"/>
      <c r="AZ138" s="135" t="str">
        <f t="shared" si="98"/>
        <v>ABS</v>
      </c>
      <c r="BA138" s="128"/>
      <c r="BB138" s="135" t="str">
        <f t="shared" si="99"/>
        <v>ABS</v>
      </c>
      <c r="BC138" s="193" t="str">
        <f t="shared" si="100"/>
        <v>ABS</v>
      </c>
      <c r="BD138" s="188" t="str">
        <f t="shared" si="101"/>
        <v>ABS</v>
      </c>
    </row>
    <row r="139" spans="2:56" ht="15.5">
      <c r="B139" s="191">
        <v>135</v>
      </c>
      <c r="C139" s="101"/>
      <c r="D139" s="101"/>
      <c r="E139" s="125"/>
      <c r="F139" s="116"/>
      <c r="G139" s="134" t="s">
        <v>23</v>
      </c>
      <c r="H139" s="144"/>
      <c r="I139" s="135" t="str">
        <f t="shared" si="74"/>
        <v>ABS</v>
      </c>
      <c r="J139" s="144"/>
      <c r="K139" s="135" t="str">
        <f t="shared" si="75"/>
        <v>ABS</v>
      </c>
      <c r="L139" s="192" t="str">
        <f t="shared" si="76"/>
        <v>ABS</v>
      </c>
      <c r="M139" s="154" t="str">
        <f t="shared" si="77"/>
        <v>ABS</v>
      </c>
      <c r="N139" s="134" t="s">
        <v>30</v>
      </c>
      <c r="O139" s="144"/>
      <c r="P139" s="135" t="str">
        <f t="shared" si="78"/>
        <v>ABS</v>
      </c>
      <c r="Q139" s="144"/>
      <c r="R139" s="135" t="str">
        <f t="shared" si="79"/>
        <v>ABS</v>
      </c>
      <c r="S139" s="193" t="str">
        <f t="shared" si="80"/>
        <v>ABS</v>
      </c>
      <c r="T139" s="154" t="str">
        <f t="shared" si="81"/>
        <v>ABS</v>
      </c>
      <c r="U139" s="137" t="s">
        <v>32</v>
      </c>
      <c r="V139" s="144"/>
      <c r="W139" s="135" t="str">
        <f t="shared" si="82"/>
        <v>ABS</v>
      </c>
      <c r="X139" s="144"/>
      <c r="Y139" s="135" t="str">
        <f t="shared" si="83"/>
        <v>ABS</v>
      </c>
      <c r="Z139" s="193" t="str">
        <f t="shared" si="84"/>
        <v>ABS</v>
      </c>
      <c r="AA139" s="154" t="str">
        <f t="shared" si="85"/>
        <v>ABS</v>
      </c>
      <c r="AB139" s="145"/>
      <c r="AC139" s="144"/>
      <c r="AD139" s="135" t="str">
        <f t="shared" si="86"/>
        <v>ABS</v>
      </c>
      <c r="AE139" s="144"/>
      <c r="AF139" s="135" t="str">
        <f t="shared" si="87"/>
        <v>ABS</v>
      </c>
      <c r="AG139" s="193" t="str">
        <f t="shared" si="88"/>
        <v>ABS</v>
      </c>
      <c r="AH139" s="154" t="str">
        <f t="shared" si="89"/>
        <v>ABS</v>
      </c>
      <c r="AI139" s="145"/>
      <c r="AJ139" s="144"/>
      <c r="AK139" s="135" t="str">
        <f t="shared" si="90"/>
        <v>ABS</v>
      </c>
      <c r="AL139" s="144"/>
      <c r="AM139" s="135" t="str">
        <f t="shared" si="91"/>
        <v>ABS</v>
      </c>
      <c r="AN139" s="193" t="str">
        <f t="shared" si="92"/>
        <v>ABS</v>
      </c>
      <c r="AO139" s="154" t="str">
        <f t="shared" si="93"/>
        <v>ABS</v>
      </c>
      <c r="AP139" s="145"/>
      <c r="AQ139" s="144"/>
      <c r="AR139" s="135" t="str">
        <f t="shared" si="102"/>
        <v>ABS</v>
      </c>
      <c r="AS139" s="144"/>
      <c r="AT139" s="135" t="str">
        <f t="shared" si="95"/>
        <v>ABS</v>
      </c>
      <c r="AU139" s="193" t="str">
        <f t="shared" si="96"/>
        <v>ABS</v>
      </c>
      <c r="AV139" s="154" t="str">
        <f t="shared" si="97"/>
        <v>ABS</v>
      </c>
      <c r="AW139" s="144"/>
      <c r="AX139" s="129"/>
      <c r="AY139" s="128"/>
      <c r="AZ139" s="135" t="str">
        <f t="shared" si="98"/>
        <v>ABS</v>
      </c>
      <c r="BA139" s="128"/>
      <c r="BB139" s="135" t="str">
        <f t="shared" si="99"/>
        <v>ABS</v>
      </c>
      <c r="BC139" s="193" t="str">
        <f t="shared" si="100"/>
        <v>ABS</v>
      </c>
      <c r="BD139" s="188" t="str">
        <f t="shared" si="101"/>
        <v>ABS</v>
      </c>
    </row>
    <row r="140" spans="2:56" ht="15.5">
      <c r="B140" s="191">
        <v>136</v>
      </c>
      <c r="C140" s="101"/>
      <c r="D140" s="101"/>
      <c r="E140" s="125"/>
      <c r="F140" s="116"/>
      <c r="G140" s="134" t="s">
        <v>23</v>
      </c>
      <c r="H140" s="144"/>
      <c r="I140" s="135" t="str">
        <f t="shared" si="74"/>
        <v>ABS</v>
      </c>
      <c r="J140" s="144"/>
      <c r="K140" s="135" t="str">
        <f t="shared" si="75"/>
        <v>ABS</v>
      </c>
      <c r="L140" s="192" t="str">
        <f t="shared" si="76"/>
        <v>ABS</v>
      </c>
      <c r="M140" s="154" t="str">
        <f t="shared" si="77"/>
        <v>ABS</v>
      </c>
      <c r="N140" s="134" t="s">
        <v>30</v>
      </c>
      <c r="O140" s="144"/>
      <c r="P140" s="135" t="str">
        <f t="shared" si="78"/>
        <v>ABS</v>
      </c>
      <c r="Q140" s="144"/>
      <c r="R140" s="135" t="str">
        <f t="shared" si="79"/>
        <v>ABS</v>
      </c>
      <c r="S140" s="193" t="str">
        <f t="shared" si="80"/>
        <v>ABS</v>
      </c>
      <c r="T140" s="154" t="str">
        <f t="shared" si="81"/>
        <v>ABS</v>
      </c>
      <c r="U140" s="137" t="s">
        <v>32</v>
      </c>
      <c r="V140" s="144"/>
      <c r="W140" s="135" t="str">
        <f t="shared" si="82"/>
        <v>ABS</v>
      </c>
      <c r="X140" s="144"/>
      <c r="Y140" s="135" t="str">
        <f t="shared" si="83"/>
        <v>ABS</v>
      </c>
      <c r="Z140" s="193" t="str">
        <f t="shared" si="84"/>
        <v>ABS</v>
      </c>
      <c r="AA140" s="154" t="str">
        <f t="shared" si="85"/>
        <v>ABS</v>
      </c>
      <c r="AB140" s="145"/>
      <c r="AC140" s="144"/>
      <c r="AD140" s="135" t="str">
        <f t="shared" si="86"/>
        <v>ABS</v>
      </c>
      <c r="AE140" s="144"/>
      <c r="AF140" s="135" t="str">
        <f t="shared" si="87"/>
        <v>ABS</v>
      </c>
      <c r="AG140" s="193" t="str">
        <f t="shared" si="88"/>
        <v>ABS</v>
      </c>
      <c r="AH140" s="154" t="str">
        <f t="shared" si="89"/>
        <v>ABS</v>
      </c>
      <c r="AI140" s="145"/>
      <c r="AJ140" s="144"/>
      <c r="AK140" s="135" t="str">
        <f t="shared" si="90"/>
        <v>ABS</v>
      </c>
      <c r="AL140" s="144"/>
      <c r="AM140" s="135" t="str">
        <f t="shared" si="91"/>
        <v>ABS</v>
      </c>
      <c r="AN140" s="193" t="str">
        <f t="shared" si="92"/>
        <v>ABS</v>
      </c>
      <c r="AO140" s="154" t="str">
        <f t="shared" si="93"/>
        <v>ABS</v>
      </c>
      <c r="AP140" s="145"/>
      <c r="AQ140" s="144"/>
      <c r="AR140" s="135" t="str">
        <f t="shared" si="102"/>
        <v>ABS</v>
      </c>
      <c r="AS140" s="144"/>
      <c r="AT140" s="135" t="str">
        <f t="shared" si="95"/>
        <v>ABS</v>
      </c>
      <c r="AU140" s="193" t="str">
        <f t="shared" si="96"/>
        <v>ABS</v>
      </c>
      <c r="AV140" s="154" t="str">
        <f t="shared" si="97"/>
        <v>ABS</v>
      </c>
      <c r="AW140" s="144"/>
      <c r="AX140" s="129"/>
      <c r="AY140" s="128"/>
      <c r="AZ140" s="135" t="str">
        <f t="shared" si="98"/>
        <v>ABS</v>
      </c>
      <c r="BA140" s="128"/>
      <c r="BB140" s="135" t="str">
        <f t="shared" si="99"/>
        <v>ABS</v>
      </c>
      <c r="BC140" s="193" t="str">
        <f t="shared" si="100"/>
        <v>ABS</v>
      </c>
      <c r="BD140" s="188" t="str">
        <f t="shared" si="101"/>
        <v>ABS</v>
      </c>
    </row>
    <row r="141" spans="2:56" ht="15.5">
      <c r="B141" s="191">
        <v>137</v>
      </c>
      <c r="C141" s="101"/>
      <c r="D141" s="101"/>
      <c r="E141" s="125"/>
      <c r="F141" s="116"/>
      <c r="G141" s="134" t="s">
        <v>23</v>
      </c>
      <c r="H141" s="144"/>
      <c r="I141" s="135" t="str">
        <f t="shared" si="74"/>
        <v>ABS</v>
      </c>
      <c r="J141" s="144"/>
      <c r="K141" s="135" t="str">
        <f t="shared" si="75"/>
        <v>ABS</v>
      </c>
      <c r="L141" s="192" t="str">
        <f t="shared" si="76"/>
        <v>ABS</v>
      </c>
      <c r="M141" s="154" t="str">
        <f t="shared" si="77"/>
        <v>ABS</v>
      </c>
      <c r="N141" s="134" t="s">
        <v>30</v>
      </c>
      <c r="O141" s="144"/>
      <c r="P141" s="135" t="str">
        <f t="shared" si="78"/>
        <v>ABS</v>
      </c>
      <c r="Q141" s="144"/>
      <c r="R141" s="135" t="str">
        <f t="shared" si="79"/>
        <v>ABS</v>
      </c>
      <c r="S141" s="193" t="str">
        <f t="shared" si="80"/>
        <v>ABS</v>
      </c>
      <c r="T141" s="154" t="str">
        <f t="shared" si="81"/>
        <v>ABS</v>
      </c>
      <c r="U141" s="137" t="s">
        <v>32</v>
      </c>
      <c r="V141" s="144"/>
      <c r="W141" s="135" t="str">
        <f t="shared" si="82"/>
        <v>ABS</v>
      </c>
      <c r="X141" s="144"/>
      <c r="Y141" s="135" t="str">
        <f t="shared" si="83"/>
        <v>ABS</v>
      </c>
      <c r="Z141" s="193" t="str">
        <f t="shared" si="84"/>
        <v>ABS</v>
      </c>
      <c r="AA141" s="154" t="str">
        <f t="shared" si="85"/>
        <v>ABS</v>
      </c>
      <c r="AB141" s="145"/>
      <c r="AC141" s="144"/>
      <c r="AD141" s="135" t="str">
        <f t="shared" si="86"/>
        <v>ABS</v>
      </c>
      <c r="AE141" s="144"/>
      <c r="AF141" s="135" t="str">
        <f t="shared" si="87"/>
        <v>ABS</v>
      </c>
      <c r="AG141" s="193" t="str">
        <f t="shared" si="88"/>
        <v>ABS</v>
      </c>
      <c r="AH141" s="154" t="str">
        <f t="shared" si="89"/>
        <v>ABS</v>
      </c>
      <c r="AI141" s="145"/>
      <c r="AJ141" s="144"/>
      <c r="AK141" s="135" t="str">
        <f t="shared" si="90"/>
        <v>ABS</v>
      </c>
      <c r="AL141" s="144"/>
      <c r="AM141" s="135" t="str">
        <f t="shared" si="91"/>
        <v>ABS</v>
      </c>
      <c r="AN141" s="193" t="str">
        <f t="shared" si="92"/>
        <v>ABS</v>
      </c>
      <c r="AO141" s="154" t="str">
        <f t="shared" si="93"/>
        <v>ABS</v>
      </c>
      <c r="AP141" s="145"/>
      <c r="AQ141" s="144"/>
      <c r="AR141" s="135" t="str">
        <f t="shared" si="102"/>
        <v>ABS</v>
      </c>
      <c r="AS141" s="144"/>
      <c r="AT141" s="135" t="str">
        <f t="shared" si="95"/>
        <v>ABS</v>
      </c>
      <c r="AU141" s="193" t="str">
        <f t="shared" si="96"/>
        <v>ABS</v>
      </c>
      <c r="AV141" s="154" t="str">
        <f t="shared" si="97"/>
        <v>ABS</v>
      </c>
      <c r="AW141" s="144"/>
      <c r="AX141" s="129"/>
      <c r="AY141" s="128"/>
      <c r="AZ141" s="135" t="str">
        <f t="shared" si="98"/>
        <v>ABS</v>
      </c>
      <c r="BA141" s="128"/>
      <c r="BB141" s="135" t="str">
        <f t="shared" si="99"/>
        <v>ABS</v>
      </c>
      <c r="BC141" s="193" t="str">
        <f t="shared" si="100"/>
        <v>ABS</v>
      </c>
      <c r="BD141" s="188" t="str">
        <f t="shared" si="101"/>
        <v>ABS</v>
      </c>
    </row>
    <row r="142" spans="2:56" ht="15.5">
      <c r="B142" s="191">
        <v>138</v>
      </c>
      <c r="C142" s="101"/>
      <c r="D142" s="101"/>
      <c r="E142" s="125"/>
      <c r="F142" s="116"/>
      <c r="G142" s="134" t="s">
        <v>23</v>
      </c>
      <c r="H142" s="144"/>
      <c r="I142" s="135" t="str">
        <f t="shared" si="74"/>
        <v>ABS</v>
      </c>
      <c r="J142" s="144"/>
      <c r="K142" s="135" t="str">
        <f t="shared" si="75"/>
        <v>ABS</v>
      </c>
      <c r="L142" s="192" t="str">
        <f t="shared" si="76"/>
        <v>ABS</v>
      </c>
      <c r="M142" s="154" t="str">
        <f t="shared" si="77"/>
        <v>ABS</v>
      </c>
      <c r="N142" s="134" t="s">
        <v>30</v>
      </c>
      <c r="O142" s="144"/>
      <c r="P142" s="135" t="str">
        <f t="shared" si="78"/>
        <v>ABS</v>
      </c>
      <c r="Q142" s="144"/>
      <c r="R142" s="135" t="str">
        <f t="shared" si="79"/>
        <v>ABS</v>
      </c>
      <c r="S142" s="193" t="str">
        <f t="shared" si="80"/>
        <v>ABS</v>
      </c>
      <c r="T142" s="154" t="str">
        <f t="shared" si="81"/>
        <v>ABS</v>
      </c>
      <c r="U142" s="137" t="s">
        <v>32</v>
      </c>
      <c r="V142" s="144"/>
      <c r="W142" s="135" t="str">
        <f t="shared" si="82"/>
        <v>ABS</v>
      </c>
      <c r="X142" s="144"/>
      <c r="Y142" s="135" t="str">
        <f t="shared" si="83"/>
        <v>ABS</v>
      </c>
      <c r="Z142" s="193" t="str">
        <f t="shared" si="84"/>
        <v>ABS</v>
      </c>
      <c r="AA142" s="154" t="str">
        <f t="shared" si="85"/>
        <v>ABS</v>
      </c>
      <c r="AB142" s="145"/>
      <c r="AC142" s="144"/>
      <c r="AD142" s="135" t="str">
        <f t="shared" si="86"/>
        <v>ABS</v>
      </c>
      <c r="AE142" s="144"/>
      <c r="AF142" s="135" t="str">
        <f t="shared" si="87"/>
        <v>ABS</v>
      </c>
      <c r="AG142" s="193" t="str">
        <f t="shared" si="88"/>
        <v>ABS</v>
      </c>
      <c r="AH142" s="154" t="str">
        <f t="shared" si="89"/>
        <v>ABS</v>
      </c>
      <c r="AI142" s="145"/>
      <c r="AJ142" s="144"/>
      <c r="AK142" s="135" t="str">
        <f t="shared" si="90"/>
        <v>ABS</v>
      </c>
      <c r="AL142" s="144"/>
      <c r="AM142" s="135" t="str">
        <f t="shared" si="91"/>
        <v>ABS</v>
      </c>
      <c r="AN142" s="193" t="str">
        <f t="shared" si="92"/>
        <v>ABS</v>
      </c>
      <c r="AO142" s="154" t="str">
        <f t="shared" si="93"/>
        <v>ABS</v>
      </c>
      <c r="AP142" s="145"/>
      <c r="AQ142" s="144"/>
      <c r="AR142" s="135" t="str">
        <f t="shared" si="102"/>
        <v>ABS</v>
      </c>
      <c r="AS142" s="144"/>
      <c r="AT142" s="135" t="str">
        <f t="shared" si="95"/>
        <v>ABS</v>
      </c>
      <c r="AU142" s="193" t="str">
        <f t="shared" si="96"/>
        <v>ABS</v>
      </c>
      <c r="AV142" s="154" t="str">
        <f t="shared" si="97"/>
        <v>ABS</v>
      </c>
      <c r="AW142" s="144"/>
      <c r="AX142" s="129"/>
      <c r="AY142" s="128"/>
      <c r="AZ142" s="135" t="str">
        <f t="shared" si="98"/>
        <v>ABS</v>
      </c>
      <c r="BA142" s="128"/>
      <c r="BB142" s="135" t="str">
        <f t="shared" si="99"/>
        <v>ABS</v>
      </c>
      <c r="BC142" s="193" t="str">
        <f t="shared" si="100"/>
        <v>ABS</v>
      </c>
      <c r="BD142" s="188" t="str">
        <f t="shared" si="101"/>
        <v>ABS</v>
      </c>
    </row>
    <row r="143" spans="2:56" ht="15.5">
      <c r="B143" s="191">
        <v>139</v>
      </c>
      <c r="C143" s="101"/>
      <c r="D143" s="101"/>
      <c r="E143" s="125"/>
      <c r="F143" s="116"/>
      <c r="G143" s="134" t="s">
        <v>23</v>
      </c>
      <c r="H143" s="144"/>
      <c r="I143" s="135" t="str">
        <f t="shared" si="74"/>
        <v>ABS</v>
      </c>
      <c r="J143" s="144"/>
      <c r="K143" s="135" t="str">
        <f t="shared" si="75"/>
        <v>ABS</v>
      </c>
      <c r="L143" s="192" t="str">
        <f t="shared" si="76"/>
        <v>ABS</v>
      </c>
      <c r="M143" s="154" t="str">
        <f t="shared" si="77"/>
        <v>ABS</v>
      </c>
      <c r="N143" s="134" t="s">
        <v>30</v>
      </c>
      <c r="O143" s="144"/>
      <c r="P143" s="135" t="str">
        <f t="shared" si="78"/>
        <v>ABS</v>
      </c>
      <c r="Q143" s="144"/>
      <c r="R143" s="135" t="str">
        <f t="shared" si="79"/>
        <v>ABS</v>
      </c>
      <c r="S143" s="193" t="str">
        <f t="shared" si="80"/>
        <v>ABS</v>
      </c>
      <c r="T143" s="154" t="str">
        <f t="shared" si="81"/>
        <v>ABS</v>
      </c>
      <c r="U143" s="137" t="s">
        <v>32</v>
      </c>
      <c r="V143" s="144"/>
      <c r="W143" s="135" t="str">
        <f t="shared" si="82"/>
        <v>ABS</v>
      </c>
      <c r="X143" s="144"/>
      <c r="Y143" s="135" t="str">
        <f t="shared" si="83"/>
        <v>ABS</v>
      </c>
      <c r="Z143" s="193" t="str">
        <f t="shared" si="84"/>
        <v>ABS</v>
      </c>
      <c r="AA143" s="154" t="str">
        <f t="shared" si="85"/>
        <v>ABS</v>
      </c>
      <c r="AB143" s="145"/>
      <c r="AC143" s="144"/>
      <c r="AD143" s="135" t="str">
        <f t="shared" si="86"/>
        <v>ABS</v>
      </c>
      <c r="AE143" s="144"/>
      <c r="AF143" s="135" t="str">
        <f t="shared" si="87"/>
        <v>ABS</v>
      </c>
      <c r="AG143" s="193" t="str">
        <f t="shared" si="88"/>
        <v>ABS</v>
      </c>
      <c r="AH143" s="154" t="str">
        <f t="shared" si="89"/>
        <v>ABS</v>
      </c>
      <c r="AI143" s="145"/>
      <c r="AJ143" s="144"/>
      <c r="AK143" s="135" t="str">
        <f t="shared" si="90"/>
        <v>ABS</v>
      </c>
      <c r="AL143" s="144"/>
      <c r="AM143" s="135" t="str">
        <f t="shared" si="91"/>
        <v>ABS</v>
      </c>
      <c r="AN143" s="193" t="str">
        <f t="shared" si="92"/>
        <v>ABS</v>
      </c>
      <c r="AO143" s="154" t="str">
        <f t="shared" si="93"/>
        <v>ABS</v>
      </c>
      <c r="AP143" s="145"/>
      <c r="AQ143" s="144"/>
      <c r="AR143" s="135" t="str">
        <f t="shared" si="102"/>
        <v>ABS</v>
      </c>
      <c r="AS143" s="144"/>
      <c r="AT143" s="135" t="str">
        <f t="shared" si="95"/>
        <v>ABS</v>
      </c>
      <c r="AU143" s="193" t="str">
        <f t="shared" si="96"/>
        <v>ABS</v>
      </c>
      <c r="AV143" s="154" t="str">
        <f t="shared" si="97"/>
        <v>ABS</v>
      </c>
      <c r="AW143" s="144"/>
      <c r="AX143" s="129"/>
      <c r="AY143" s="128"/>
      <c r="AZ143" s="135" t="str">
        <f t="shared" si="98"/>
        <v>ABS</v>
      </c>
      <c r="BA143" s="128"/>
      <c r="BB143" s="135" t="str">
        <f t="shared" si="99"/>
        <v>ABS</v>
      </c>
      <c r="BC143" s="193" t="str">
        <f t="shared" si="100"/>
        <v>ABS</v>
      </c>
      <c r="BD143" s="188" t="str">
        <f t="shared" si="101"/>
        <v>ABS</v>
      </c>
    </row>
    <row r="144" spans="2:56" ht="15.5">
      <c r="B144" s="191">
        <v>140</v>
      </c>
      <c r="C144" s="101"/>
      <c r="D144" s="101"/>
      <c r="E144" s="125"/>
      <c r="F144" s="116"/>
      <c r="G144" s="134" t="s">
        <v>23</v>
      </c>
      <c r="H144" s="144"/>
      <c r="I144" s="135" t="str">
        <f t="shared" si="74"/>
        <v>ABS</v>
      </c>
      <c r="J144" s="144"/>
      <c r="K144" s="135" t="str">
        <f t="shared" si="75"/>
        <v>ABS</v>
      </c>
      <c r="L144" s="192" t="str">
        <f t="shared" si="76"/>
        <v>ABS</v>
      </c>
      <c r="M144" s="154" t="str">
        <f t="shared" si="77"/>
        <v>ABS</v>
      </c>
      <c r="N144" s="134" t="s">
        <v>30</v>
      </c>
      <c r="O144" s="144"/>
      <c r="P144" s="135" t="str">
        <f t="shared" si="78"/>
        <v>ABS</v>
      </c>
      <c r="Q144" s="144"/>
      <c r="R144" s="135" t="str">
        <f t="shared" si="79"/>
        <v>ABS</v>
      </c>
      <c r="S144" s="193" t="str">
        <f t="shared" si="80"/>
        <v>ABS</v>
      </c>
      <c r="T144" s="154" t="str">
        <f t="shared" si="81"/>
        <v>ABS</v>
      </c>
      <c r="U144" s="137" t="s">
        <v>32</v>
      </c>
      <c r="V144" s="144"/>
      <c r="W144" s="135" t="str">
        <f t="shared" si="82"/>
        <v>ABS</v>
      </c>
      <c r="X144" s="144"/>
      <c r="Y144" s="135" t="str">
        <f t="shared" si="83"/>
        <v>ABS</v>
      </c>
      <c r="Z144" s="193" t="str">
        <f t="shared" si="84"/>
        <v>ABS</v>
      </c>
      <c r="AA144" s="154" t="str">
        <f t="shared" si="85"/>
        <v>ABS</v>
      </c>
      <c r="AB144" s="145"/>
      <c r="AC144" s="144"/>
      <c r="AD144" s="135" t="str">
        <f t="shared" si="86"/>
        <v>ABS</v>
      </c>
      <c r="AE144" s="144"/>
      <c r="AF144" s="135" t="str">
        <f t="shared" si="87"/>
        <v>ABS</v>
      </c>
      <c r="AG144" s="193" t="str">
        <f t="shared" si="88"/>
        <v>ABS</v>
      </c>
      <c r="AH144" s="154" t="str">
        <f t="shared" si="89"/>
        <v>ABS</v>
      </c>
      <c r="AI144" s="145"/>
      <c r="AJ144" s="144"/>
      <c r="AK144" s="135" t="str">
        <f t="shared" si="90"/>
        <v>ABS</v>
      </c>
      <c r="AL144" s="144"/>
      <c r="AM144" s="135" t="str">
        <f t="shared" si="91"/>
        <v>ABS</v>
      </c>
      <c r="AN144" s="193" t="str">
        <f t="shared" si="92"/>
        <v>ABS</v>
      </c>
      <c r="AO144" s="154" t="str">
        <f t="shared" si="93"/>
        <v>ABS</v>
      </c>
      <c r="AP144" s="145"/>
      <c r="AQ144" s="144"/>
      <c r="AR144" s="135" t="str">
        <f t="shared" si="102"/>
        <v>ABS</v>
      </c>
      <c r="AS144" s="144"/>
      <c r="AT144" s="135" t="str">
        <f t="shared" si="95"/>
        <v>ABS</v>
      </c>
      <c r="AU144" s="193" t="str">
        <f t="shared" si="96"/>
        <v>ABS</v>
      </c>
      <c r="AV144" s="154" t="str">
        <f t="shared" si="97"/>
        <v>ABS</v>
      </c>
      <c r="AW144" s="144"/>
      <c r="AX144" s="129"/>
      <c r="AY144" s="128"/>
      <c r="AZ144" s="135" t="str">
        <f t="shared" si="98"/>
        <v>ABS</v>
      </c>
      <c r="BA144" s="128"/>
      <c r="BB144" s="135" t="str">
        <f t="shared" si="99"/>
        <v>ABS</v>
      </c>
      <c r="BC144" s="193" t="str">
        <f t="shared" si="100"/>
        <v>ABS</v>
      </c>
      <c r="BD144" s="188" t="str">
        <f t="shared" si="101"/>
        <v>ABS</v>
      </c>
    </row>
    <row r="145" spans="2:56" ht="15.5">
      <c r="B145" s="191">
        <v>141</v>
      </c>
      <c r="C145" s="101"/>
      <c r="D145" s="101"/>
      <c r="E145" s="125"/>
      <c r="F145" s="116"/>
      <c r="G145" s="134" t="s">
        <v>23</v>
      </c>
      <c r="H145" s="144"/>
      <c r="I145" s="135" t="str">
        <f t="shared" si="74"/>
        <v>ABS</v>
      </c>
      <c r="J145" s="144"/>
      <c r="K145" s="135" t="str">
        <f t="shared" si="75"/>
        <v>ABS</v>
      </c>
      <c r="L145" s="192" t="str">
        <f t="shared" si="76"/>
        <v>ABS</v>
      </c>
      <c r="M145" s="154" t="str">
        <f t="shared" si="77"/>
        <v>ABS</v>
      </c>
      <c r="N145" s="134" t="s">
        <v>30</v>
      </c>
      <c r="O145" s="144"/>
      <c r="P145" s="135" t="str">
        <f t="shared" si="78"/>
        <v>ABS</v>
      </c>
      <c r="Q145" s="144"/>
      <c r="R145" s="135" t="str">
        <f t="shared" si="79"/>
        <v>ABS</v>
      </c>
      <c r="S145" s="193" t="str">
        <f t="shared" si="80"/>
        <v>ABS</v>
      </c>
      <c r="T145" s="154" t="str">
        <f t="shared" si="81"/>
        <v>ABS</v>
      </c>
      <c r="U145" s="137" t="s">
        <v>32</v>
      </c>
      <c r="V145" s="144"/>
      <c r="W145" s="135" t="str">
        <f t="shared" si="82"/>
        <v>ABS</v>
      </c>
      <c r="X145" s="144"/>
      <c r="Y145" s="135" t="str">
        <f t="shared" si="83"/>
        <v>ABS</v>
      </c>
      <c r="Z145" s="193" t="str">
        <f t="shared" si="84"/>
        <v>ABS</v>
      </c>
      <c r="AA145" s="154" t="str">
        <f t="shared" si="85"/>
        <v>ABS</v>
      </c>
      <c r="AB145" s="145"/>
      <c r="AC145" s="144"/>
      <c r="AD145" s="135" t="str">
        <f t="shared" si="86"/>
        <v>ABS</v>
      </c>
      <c r="AE145" s="144"/>
      <c r="AF145" s="135" t="str">
        <f t="shared" si="87"/>
        <v>ABS</v>
      </c>
      <c r="AG145" s="193" t="str">
        <f t="shared" si="88"/>
        <v>ABS</v>
      </c>
      <c r="AH145" s="154" t="str">
        <f t="shared" si="89"/>
        <v>ABS</v>
      </c>
      <c r="AI145" s="145"/>
      <c r="AJ145" s="144"/>
      <c r="AK145" s="135" t="str">
        <f t="shared" si="90"/>
        <v>ABS</v>
      </c>
      <c r="AL145" s="144"/>
      <c r="AM145" s="135" t="str">
        <f t="shared" si="91"/>
        <v>ABS</v>
      </c>
      <c r="AN145" s="193" t="str">
        <f t="shared" si="92"/>
        <v>ABS</v>
      </c>
      <c r="AO145" s="154" t="str">
        <f t="shared" si="93"/>
        <v>ABS</v>
      </c>
      <c r="AP145" s="145"/>
      <c r="AQ145" s="144"/>
      <c r="AR145" s="135" t="str">
        <f t="shared" si="102"/>
        <v>ABS</v>
      </c>
      <c r="AS145" s="144"/>
      <c r="AT145" s="135" t="str">
        <f t="shared" si="95"/>
        <v>ABS</v>
      </c>
      <c r="AU145" s="193" t="str">
        <f t="shared" si="96"/>
        <v>ABS</v>
      </c>
      <c r="AV145" s="154" t="str">
        <f t="shared" si="97"/>
        <v>ABS</v>
      </c>
      <c r="AW145" s="144"/>
      <c r="AX145" s="129"/>
      <c r="AY145" s="128"/>
      <c r="AZ145" s="135" t="str">
        <f t="shared" si="98"/>
        <v>ABS</v>
      </c>
      <c r="BA145" s="128"/>
      <c r="BB145" s="135" t="str">
        <f t="shared" si="99"/>
        <v>ABS</v>
      </c>
      <c r="BC145" s="193" t="str">
        <f t="shared" si="100"/>
        <v>ABS</v>
      </c>
      <c r="BD145" s="188" t="str">
        <f t="shared" si="101"/>
        <v>ABS</v>
      </c>
    </row>
    <row r="146" spans="2:56" ht="15.5">
      <c r="B146" s="191">
        <v>142</v>
      </c>
      <c r="C146" s="101"/>
      <c r="D146" s="101"/>
      <c r="E146" s="125"/>
      <c r="F146" s="116"/>
      <c r="G146" s="134" t="s">
        <v>23</v>
      </c>
      <c r="H146" s="144"/>
      <c r="I146" s="135" t="str">
        <f t="shared" si="74"/>
        <v>ABS</v>
      </c>
      <c r="J146" s="144"/>
      <c r="K146" s="135" t="str">
        <f t="shared" si="75"/>
        <v>ABS</v>
      </c>
      <c r="L146" s="192" t="str">
        <f t="shared" si="76"/>
        <v>ABS</v>
      </c>
      <c r="M146" s="154" t="str">
        <f t="shared" si="77"/>
        <v>ABS</v>
      </c>
      <c r="N146" s="134" t="s">
        <v>30</v>
      </c>
      <c r="O146" s="144"/>
      <c r="P146" s="135" t="str">
        <f t="shared" si="78"/>
        <v>ABS</v>
      </c>
      <c r="Q146" s="144"/>
      <c r="R146" s="135" t="str">
        <f t="shared" si="79"/>
        <v>ABS</v>
      </c>
      <c r="S146" s="193" t="str">
        <f t="shared" si="80"/>
        <v>ABS</v>
      </c>
      <c r="T146" s="154" t="str">
        <f t="shared" si="81"/>
        <v>ABS</v>
      </c>
      <c r="U146" s="137" t="s">
        <v>32</v>
      </c>
      <c r="V146" s="144"/>
      <c r="W146" s="135" t="str">
        <f t="shared" si="82"/>
        <v>ABS</v>
      </c>
      <c r="X146" s="144"/>
      <c r="Y146" s="135" t="str">
        <f t="shared" si="83"/>
        <v>ABS</v>
      </c>
      <c r="Z146" s="193" t="str">
        <f t="shared" si="84"/>
        <v>ABS</v>
      </c>
      <c r="AA146" s="154" t="str">
        <f t="shared" si="85"/>
        <v>ABS</v>
      </c>
      <c r="AB146" s="145"/>
      <c r="AC146" s="144"/>
      <c r="AD146" s="135" t="str">
        <f t="shared" si="86"/>
        <v>ABS</v>
      </c>
      <c r="AE146" s="144"/>
      <c r="AF146" s="135" t="str">
        <f t="shared" si="87"/>
        <v>ABS</v>
      </c>
      <c r="AG146" s="193" t="str">
        <f t="shared" si="88"/>
        <v>ABS</v>
      </c>
      <c r="AH146" s="154" t="str">
        <f t="shared" si="89"/>
        <v>ABS</v>
      </c>
      <c r="AI146" s="145"/>
      <c r="AJ146" s="144"/>
      <c r="AK146" s="135" t="str">
        <f t="shared" si="90"/>
        <v>ABS</v>
      </c>
      <c r="AL146" s="144"/>
      <c r="AM146" s="135" t="str">
        <f t="shared" si="91"/>
        <v>ABS</v>
      </c>
      <c r="AN146" s="193" t="str">
        <f t="shared" si="92"/>
        <v>ABS</v>
      </c>
      <c r="AO146" s="154" t="str">
        <f t="shared" si="93"/>
        <v>ABS</v>
      </c>
      <c r="AP146" s="145"/>
      <c r="AQ146" s="144"/>
      <c r="AR146" s="135" t="str">
        <f t="shared" si="102"/>
        <v>ABS</v>
      </c>
      <c r="AS146" s="144"/>
      <c r="AT146" s="135" t="str">
        <f t="shared" si="95"/>
        <v>ABS</v>
      </c>
      <c r="AU146" s="193" t="str">
        <f t="shared" si="96"/>
        <v>ABS</v>
      </c>
      <c r="AV146" s="154" t="str">
        <f t="shared" si="97"/>
        <v>ABS</v>
      </c>
      <c r="AW146" s="144"/>
      <c r="AX146" s="129"/>
      <c r="AY146" s="128"/>
      <c r="AZ146" s="135" t="str">
        <f t="shared" si="98"/>
        <v>ABS</v>
      </c>
      <c r="BA146" s="128"/>
      <c r="BB146" s="135" t="str">
        <f t="shared" si="99"/>
        <v>ABS</v>
      </c>
      <c r="BC146" s="193" t="str">
        <f t="shared" si="100"/>
        <v>ABS</v>
      </c>
      <c r="BD146" s="188" t="str">
        <f t="shared" si="101"/>
        <v>ABS</v>
      </c>
    </row>
    <row r="147" spans="2:56" ht="15.5">
      <c r="B147" s="191">
        <v>143</v>
      </c>
      <c r="C147" s="101"/>
      <c r="D147" s="101"/>
      <c r="E147" s="125"/>
      <c r="F147" s="116"/>
      <c r="G147" s="134" t="s">
        <v>23</v>
      </c>
      <c r="H147" s="144"/>
      <c r="I147" s="135" t="str">
        <f t="shared" si="74"/>
        <v>ABS</v>
      </c>
      <c r="J147" s="144"/>
      <c r="K147" s="135" t="str">
        <f t="shared" si="75"/>
        <v>ABS</v>
      </c>
      <c r="L147" s="192" t="str">
        <f t="shared" si="76"/>
        <v>ABS</v>
      </c>
      <c r="M147" s="154" t="str">
        <f t="shared" si="77"/>
        <v>ABS</v>
      </c>
      <c r="N147" s="134" t="s">
        <v>30</v>
      </c>
      <c r="O147" s="144"/>
      <c r="P147" s="135" t="str">
        <f t="shared" si="78"/>
        <v>ABS</v>
      </c>
      <c r="Q147" s="144"/>
      <c r="R147" s="135" t="str">
        <f t="shared" si="79"/>
        <v>ABS</v>
      </c>
      <c r="S147" s="193" t="str">
        <f t="shared" si="80"/>
        <v>ABS</v>
      </c>
      <c r="T147" s="154" t="str">
        <f t="shared" si="81"/>
        <v>ABS</v>
      </c>
      <c r="U147" s="137" t="s">
        <v>32</v>
      </c>
      <c r="V147" s="144"/>
      <c r="W147" s="135" t="str">
        <f t="shared" si="82"/>
        <v>ABS</v>
      </c>
      <c r="X147" s="144"/>
      <c r="Y147" s="135" t="str">
        <f t="shared" si="83"/>
        <v>ABS</v>
      </c>
      <c r="Z147" s="193" t="str">
        <f t="shared" si="84"/>
        <v>ABS</v>
      </c>
      <c r="AA147" s="154" t="str">
        <f t="shared" si="85"/>
        <v>ABS</v>
      </c>
      <c r="AB147" s="145"/>
      <c r="AC147" s="144"/>
      <c r="AD147" s="135" t="str">
        <f t="shared" si="86"/>
        <v>ABS</v>
      </c>
      <c r="AE147" s="144"/>
      <c r="AF147" s="135" t="str">
        <f t="shared" si="87"/>
        <v>ABS</v>
      </c>
      <c r="AG147" s="193" t="str">
        <f t="shared" si="88"/>
        <v>ABS</v>
      </c>
      <c r="AH147" s="154" t="str">
        <f t="shared" si="89"/>
        <v>ABS</v>
      </c>
      <c r="AI147" s="145"/>
      <c r="AJ147" s="144"/>
      <c r="AK147" s="135" t="str">
        <f t="shared" si="90"/>
        <v>ABS</v>
      </c>
      <c r="AL147" s="144"/>
      <c r="AM147" s="135" t="str">
        <f t="shared" si="91"/>
        <v>ABS</v>
      </c>
      <c r="AN147" s="193" t="str">
        <f t="shared" si="92"/>
        <v>ABS</v>
      </c>
      <c r="AO147" s="154" t="str">
        <f t="shared" si="93"/>
        <v>ABS</v>
      </c>
      <c r="AP147" s="145"/>
      <c r="AQ147" s="144"/>
      <c r="AR147" s="135" t="str">
        <f t="shared" si="102"/>
        <v>ABS</v>
      </c>
      <c r="AS147" s="144"/>
      <c r="AT147" s="135" t="str">
        <f t="shared" si="95"/>
        <v>ABS</v>
      </c>
      <c r="AU147" s="193" t="str">
        <f t="shared" si="96"/>
        <v>ABS</v>
      </c>
      <c r="AV147" s="154" t="str">
        <f t="shared" si="97"/>
        <v>ABS</v>
      </c>
      <c r="AW147" s="144"/>
      <c r="AX147" s="129"/>
      <c r="AY147" s="128"/>
      <c r="AZ147" s="135" t="str">
        <f t="shared" si="98"/>
        <v>ABS</v>
      </c>
      <c r="BA147" s="128"/>
      <c r="BB147" s="135" t="str">
        <f t="shared" si="99"/>
        <v>ABS</v>
      </c>
      <c r="BC147" s="193" t="str">
        <f t="shared" si="100"/>
        <v>ABS</v>
      </c>
      <c r="BD147" s="188" t="str">
        <f t="shared" si="101"/>
        <v>ABS</v>
      </c>
    </row>
    <row r="148" spans="2:56" ht="15.5">
      <c r="B148" s="191">
        <v>144</v>
      </c>
      <c r="C148" s="101"/>
      <c r="D148" s="101"/>
      <c r="E148" s="125"/>
      <c r="F148" s="116"/>
      <c r="G148" s="134" t="s">
        <v>23</v>
      </c>
      <c r="H148" s="144"/>
      <c r="I148" s="135" t="str">
        <f t="shared" si="74"/>
        <v>ABS</v>
      </c>
      <c r="J148" s="144"/>
      <c r="K148" s="135" t="str">
        <f t="shared" si="75"/>
        <v>ABS</v>
      </c>
      <c r="L148" s="192" t="str">
        <f t="shared" si="76"/>
        <v>ABS</v>
      </c>
      <c r="M148" s="154" t="str">
        <f t="shared" si="77"/>
        <v>ABS</v>
      </c>
      <c r="N148" s="134" t="s">
        <v>30</v>
      </c>
      <c r="O148" s="144"/>
      <c r="P148" s="135" t="str">
        <f t="shared" si="78"/>
        <v>ABS</v>
      </c>
      <c r="Q148" s="144"/>
      <c r="R148" s="135" t="str">
        <f t="shared" si="79"/>
        <v>ABS</v>
      </c>
      <c r="S148" s="193" t="str">
        <f t="shared" si="80"/>
        <v>ABS</v>
      </c>
      <c r="T148" s="154" t="str">
        <f t="shared" si="81"/>
        <v>ABS</v>
      </c>
      <c r="U148" s="137" t="s">
        <v>32</v>
      </c>
      <c r="V148" s="144"/>
      <c r="W148" s="135" t="str">
        <f t="shared" si="82"/>
        <v>ABS</v>
      </c>
      <c r="X148" s="144"/>
      <c r="Y148" s="135" t="str">
        <f t="shared" si="83"/>
        <v>ABS</v>
      </c>
      <c r="Z148" s="193" t="str">
        <f t="shared" si="84"/>
        <v>ABS</v>
      </c>
      <c r="AA148" s="154" t="str">
        <f t="shared" si="85"/>
        <v>ABS</v>
      </c>
      <c r="AB148" s="145"/>
      <c r="AC148" s="144"/>
      <c r="AD148" s="135" t="str">
        <f t="shared" si="86"/>
        <v>ABS</v>
      </c>
      <c r="AE148" s="144"/>
      <c r="AF148" s="135" t="str">
        <f t="shared" si="87"/>
        <v>ABS</v>
      </c>
      <c r="AG148" s="193" t="str">
        <f t="shared" si="88"/>
        <v>ABS</v>
      </c>
      <c r="AH148" s="154" t="str">
        <f t="shared" si="89"/>
        <v>ABS</v>
      </c>
      <c r="AI148" s="145"/>
      <c r="AJ148" s="144"/>
      <c r="AK148" s="135" t="str">
        <f t="shared" si="90"/>
        <v>ABS</v>
      </c>
      <c r="AL148" s="144"/>
      <c r="AM148" s="135" t="str">
        <f t="shared" si="91"/>
        <v>ABS</v>
      </c>
      <c r="AN148" s="193" t="str">
        <f t="shared" si="92"/>
        <v>ABS</v>
      </c>
      <c r="AO148" s="154" t="str">
        <f t="shared" si="93"/>
        <v>ABS</v>
      </c>
      <c r="AP148" s="145"/>
      <c r="AQ148" s="144"/>
      <c r="AR148" s="135" t="str">
        <f t="shared" si="102"/>
        <v>ABS</v>
      </c>
      <c r="AS148" s="144"/>
      <c r="AT148" s="135" t="str">
        <f t="shared" si="95"/>
        <v>ABS</v>
      </c>
      <c r="AU148" s="193" t="str">
        <f t="shared" si="96"/>
        <v>ABS</v>
      </c>
      <c r="AV148" s="154" t="str">
        <f t="shared" si="97"/>
        <v>ABS</v>
      </c>
      <c r="AW148" s="144"/>
      <c r="AX148" s="129"/>
      <c r="AY148" s="128"/>
      <c r="AZ148" s="135" t="str">
        <f t="shared" si="98"/>
        <v>ABS</v>
      </c>
      <c r="BA148" s="128"/>
      <c r="BB148" s="135" t="str">
        <f t="shared" si="99"/>
        <v>ABS</v>
      </c>
      <c r="BC148" s="193" t="str">
        <f t="shared" si="100"/>
        <v>ABS</v>
      </c>
      <c r="BD148" s="188" t="str">
        <f t="shared" si="101"/>
        <v>ABS</v>
      </c>
    </row>
    <row r="149" spans="2:56" ht="15.5">
      <c r="B149" s="191">
        <v>145</v>
      </c>
      <c r="C149" s="101"/>
      <c r="D149" s="101"/>
      <c r="E149" s="125"/>
      <c r="F149" s="116"/>
      <c r="G149" s="134" t="s">
        <v>23</v>
      </c>
      <c r="H149" s="144"/>
      <c r="I149" s="135" t="str">
        <f t="shared" si="74"/>
        <v>ABS</v>
      </c>
      <c r="J149" s="144"/>
      <c r="K149" s="135" t="str">
        <f t="shared" si="75"/>
        <v>ABS</v>
      </c>
      <c r="L149" s="192" t="str">
        <f t="shared" si="76"/>
        <v>ABS</v>
      </c>
      <c r="M149" s="154" t="str">
        <f t="shared" si="77"/>
        <v>ABS</v>
      </c>
      <c r="N149" s="134" t="s">
        <v>30</v>
      </c>
      <c r="O149" s="144"/>
      <c r="P149" s="135" t="str">
        <f t="shared" si="78"/>
        <v>ABS</v>
      </c>
      <c r="Q149" s="144"/>
      <c r="R149" s="135" t="str">
        <f t="shared" si="79"/>
        <v>ABS</v>
      </c>
      <c r="S149" s="193" t="str">
        <f t="shared" si="80"/>
        <v>ABS</v>
      </c>
      <c r="T149" s="154" t="str">
        <f t="shared" si="81"/>
        <v>ABS</v>
      </c>
      <c r="U149" s="137" t="s">
        <v>32</v>
      </c>
      <c r="V149" s="144"/>
      <c r="W149" s="135" t="str">
        <f t="shared" si="82"/>
        <v>ABS</v>
      </c>
      <c r="X149" s="144"/>
      <c r="Y149" s="135" t="str">
        <f t="shared" si="83"/>
        <v>ABS</v>
      </c>
      <c r="Z149" s="193" t="str">
        <f t="shared" si="84"/>
        <v>ABS</v>
      </c>
      <c r="AA149" s="154" t="str">
        <f t="shared" si="85"/>
        <v>ABS</v>
      </c>
      <c r="AB149" s="145"/>
      <c r="AC149" s="144"/>
      <c r="AD149" s="135" t="str">
        <f t="shared" si="86"/>
        <v>ABS</v>
      </c>
      <c r="AE149" s="144"/>
      <c r="AF149" s="135" t="str">
        <f t="shared" si="87"/>
        <v>ABS</v>
      </c>
      <c r="AG149" s="193" t="str">
        <f t="shared" si="88"/>
        <v>ABS</v>
      </c>
      <c r="AH149" s="154" t="str">
        <f t="shared" si="89"/>
        <v>ABS</v>
      </c>
      <c r="AI149" s="145"/>
      <c r="AJ149" s="144"/>
      <c r="AK149" s="135" t="str">
        <f t="shared" si="90"/>
        <v>ABS</v>
      </c>
      <c r="AL149" s="144"/>
      <c r="AM149" s="135" t="str">
        <f t="shared" si="91"/>
        <v>ABS</v>
      </c>
      <c r="AN149" s="193" t="str">
        <f t="shared" si="92"/>
        <v>ABS</v>
      </c>
      <c r="AO149" s="154" t="str">
        <f t="shared" si="93"/>
        <v>ABS</v>
      </c>
      <c r="AP149" s="145"/>
      <c r="AQ149" s="144"/>
      <c r="AR149" s="135" t="str">
        <f t="shared" si="102"/>
        <v>ABS</v>
      </c>
      <c r="AS149" s="144"/>
      <c r="AT149" s="135" t="str">
        <f t="shared" si="95"/>
        <v>ABS</v>
      </c>
      <c r="AU149" s="193" t="str">
        <f t="shared" si="96"/>
        <v>ABS</v>
      </c>
      <c r="AV149" s="154" t="str">
        <f t="shared" si="97"/>
        <v>ABS</v>
      </c>
      <c r="AW149" s="144"/>
      <c r="AX149" s="129"/>
      <c r="AY149" s="128"/>
      <c r="AZ149" s="135" t="str">
        <f t="shared" si="98"/>
        <v>ABS</v>
      </c>
      <c r="BA149" s="128"/>
      <c r="BB149" s="135" t="str">
        <f t="shared" si="99"/>
        <v>ABS</v>
      </c>
      <c r="BC149" s="193" t="str">
        <f t="shared" si="100"/>
        <v>ABS</v>
      </c>
      <c r="BD149" s="188" t="str">
        <f t="shared" si="101"/>
        <v>ABS</v>
      </c>
    </row>
    <row r="150" spans="2:56" ht="15.5">
      <c r="B150" s="191">
        <v>146</v>
      </c>
      <c r="C150" s="101"/>
      <c r="D150" s="101"/>
      <c r="E150" s="104"/>
      <c r="F150" s="116"/>
      <c r="G150" s="134" t="s">
        <v>23</v>
      </c>
      <c r="H150" s="144"/>
      <c r="I150" s="135" t="str">
        <f t="shared" si="74"/>
        <v>ABS</v>
      </c>
      <c r="J150" s="144"/>
      <c r="K150" s="135" t="str">
        <f t="shared" si="75"/>
        <v>ABS</v>
      </c>
      <c r="L150" s="192" t="str">
        <f t="shared" si="76"/>
        <v>ABS</v>
      </c>
      <c r="M150" s="154" t="str">
        <f t="shared" si="77"/>
        <v>ABS</v>
      </c>
      <c r="N150" s="134" t="s">
        <v>30</v>
      </c>
      <c r="O150" s="144"/>
      <c r="P150" s="135" t="str">
        <f t="shared" si="78"/>
        <v>ABS</v>
      </c>
      <c r="Q150" s="144"/>
      <c r="R150" s="135" t="str">
        <f t="shared" si="79"/>
        <v>ABS</v>
      </c>
      <c r="S150" s="193" t="str">
        <f t="shared" si="80"/>
        <v>ABS</v>
      </c>
      <c r="T150" s="154" t="str">
        <f t="shared" si="81"/>
        <v>ABS</v>
      </c>
      <c r="U150" s="137" t="s">
        <v>32</v>
      </c>
      <c r="V150" s="144"/>
      <c r="W150" s="135" t="str">
        <f t="shared" si="82"/>
        <v>ABS</v>
      </c>
      <c r="X150" s="144"/>
      <c r="Y150" s="135" t="str">
        <f t="shared" si="83"/>
        <v>ABS</v>
      </c>
      <c r="Z150" s="193" t="str">
        <f t="shared" si="84"/>
        <v>ABS</v>
      </c>
      <c r="AA150" s="154" t="str">
        <f t="shared" si="85"/>
        <v>ABS</v>
      </c>
      <c r="AB150" s="145"/>
      <c r="AC150" s="144"/>
      <c r="AD150" s="135" t="str">
        <f t="shared" si="86"/>
        <v>ABS</v>
      </c>
      <c r="AE150" s="144"/>
      <c r="AF150" s="135" t="str">
        <f t="shared" si="87"/>
        <v>ABS</v>
      </c>
      <c r="AG150" s="193" t="str">
        <f t="shared" si="88"/>
        <v>ABS</v>
      </c>
      <c r="AH150" s="154" t="str">
        <f t="shared" si="89"/>
        <v>ABS</v>
      </c>
      <c r="AI150" s="145"/>
      <c r="AJ150" s="144"/>
      <c r="AK150" s="135" t="str">
        <f t="shared" si="90"/>
        <v>ABS</v>
      </c>
      <c r="AL150" s="144"/>
      <c r="AM150" s="135" t="str">
        <f t="shared" si="91"/>
        <v>ABS</v>
      </c>
      <c r="AN150" s="193" t="str">
        <f t="shared" si="92"/>
        <v>ABS</v>
      </c>
      <c r="AO150" s="154" t="str">
        <f t="shared" si="93"/>
        <v>ABS</v>
      </c>
      <c r="AP150" s="145"/>
      <c r="AQ150" s="144"/>
      <c r="AR150" s="135" t="str">
        <f t="shared" si="102"/>
        <v>ABS</v>
      </c>
      <c r="AS150" s="144"/>
      <c r="AT150" s="135" t="str">
        <f t="shared" si="95"/>
        <v>ABS</v>
      </c>
      <c r="AU150" s="193" t="str">
        <f t="shared" si="96"/>
        <v>ABS</v>
      </c>
      <c r="AV150" s="154" t="str">
        <f t="shared" si="97"/>
        <v>ABS</v>
      </c>
      <c r="AW150" s="144"/>
      <c r="AX150" s="129"/>
      <c r="AY150" s="128"/>
      <c r="AZ150" s="135" t="str">
        <f t="shared" si="98"/>
        <v>ABS</v>
      </c>
      <c r="BA150" s="128"/>
      <c r="BB150" s="135" t="str">
        <f t="shared" si="99"/>
        <v>ABS</v>
      </c>
      <c r="BC150" s="193" t="str">
        <f t="shared" si="100"/>
        <v>ABS</v>
      </c>
      <c r="BD150" s="188" t="str">
        <f t="shared" si="101"/>
        <v>ABS</v>
      </c>
    </row>
    <row r="151" spans="2:56" ht="15.5">
      <c r="B151" s="191">
        <v>147</v>
      </c>
      <c r="C151" s="101"/>
      <c r="D151" s="101"/>
      <c r="E151" s="104"/>
      <c r="F151" s="116"/>
      <c r="G151" s="134" t="s">
        <v>23</v>
      </c>
      <c r="H151" s="144"/>
      <c r="I151" s="135" t="str">
        <f t="shared" si="74"/>
        <v>ABS</v>
      </c>
      <c r="J151" s="144"/>
      <c r="K151" s="135" t="str">
        <f t="shared" si="75"/>
        <v>ABS</v>
      </c>
      <c r="L151" s="192" t="str">
        <f t="shared" si="76"/>
        <v>ABS</v>
      </c>
      <c r="M151" s="154" t="str">
        <f t="shared" si="77"/>
        <v>ABS</v>
      </c>
      <c r="N151" s="134" t="s">
        <v>30</v>
      </c>
      <c r="O151" s="144"/>
      <c r="P151" s="135" t="str">
        <f t="shared" si="78"/>
        <v>ABS</v>
      </c>
      <c r="Q151" s="144"/>
      <c r="R151" s="135" t="str">
        <f t="shared" si="79"/>
        <v>ABS</v>
      </c>
      <c r="S151" s="193" t="str">
        <f t="shared" si="80"/>
        <v>ABS</v>
      </c>
      <c r="T151" s="154" t="str">
        <f t="shared" si="81"/>
        <v>ABS</v>
      </c>
      <c r="U151" s="137" t="s">
        <v>32</v>
      </c>
      <c r="V151" s="144"/>
      <c r="W151" s="135" t="str">
        <f t="shared" si="82"/>
        <v>ABS</v>
      </c>
      <c r="X151" s="144"/>
      <c r="Y151" s="135" t="str">
        <f t="shared" si="83"/>
        <v>ABS</v>
      </c>
      <c r="Z151" s="193" t="str">
        <f t="shared" si="84"/>
        <v>ABS</v>
      </c>
      <c r="AA151" s="154" t="str">
        <f t="shared" si="85"/>
        <v>ABS</v>
      </c>
      <c r="AB151" s="145"/>
      <c r="AC151" s="144"/>
      <c r="AD151" s="135" t="str">
        <f t="shared" si="86"/>
        <v>ABS</v>
      </c>
      <c r="AE151" s="144"/>
      <c r="AF151" s="135" t="str">
        <f t="shared" si="87"/>
        <v>ABS</v>
      </c>
      <c r="AG151" s="193" t="str">
        <f t="shared" si="88"/>
        <v>ABS</v>
      </c>
      <c r="AH151" s="154" t="str">
        <f t="shared" si="89"/>
        <v>ABS</v>
      </c>
      <c r="AI151" s="145"/>
      <c r="AJ151" s="144"/>
      <c r="AK151" s="135" t="str">
        <f t="shared" si="90"/>
        <v>ABS</v>
      </c>
      <c r="AL151" s="144"/>
      <c r="AM151" s="135" t="str">
        <f t="shared" si="91"/>
        <v>ABS</v>
      </c>
      <c r="AN151" s="193" t="str">
        <f t="shared" si="92"/>
        <v>ABS</v>
      </c>
      <c r="AO151" s="154" t="str">
        <f t="shared" si="93"/>
        <v>ABS</v>
      </c>
      <c r="AP151" s="145"/>
      <c r="AQ151" s="144"/>
      <c r="AR151" s="135" t="str">
        <f t="shared" si="102"/>
        <v>ABS</v>
      </c>
      <c r="AS151" s="144"/>
      <c r="AT151" s="135" t="str">
        <f t="shared" si="95"/>
        <v>ABS</v>
      </c>
      <c r="AU151" s="193" t="str">
        <f t="shared" si="96"/>
        <v>ABS</v>
      </c>
      <c r="AV151" s="154" t="str">
        <f t="shared" si="97"/>
        <v>ABS</v>
      </c>
      <c r="AW151" s="144"/>
      <c r="AX151" s="129"/>
      <c r="AY151" s="128"/>
      <c r="AZ151" s="135" t="str">
        <f t="shared" si="98"/>
        <v>ABS</v>
      </c>
      <c r="BA151" s="128"/>
      <c r="BB151" s="135" t="str">
        <f t="shared" si="99"/>
        <v>ABS</v>
      </c>
      <c r="BC151" s="193" t="str">
        <f t="shared" si="100"/>
        <v>ABS</v>
      </c>
      <c r="BD151" s="188" t="str">
        <f t="shared" si="101"/>
        <v>ABS</v>
      </c>
    </row>
    <row r="152" spans="2:56" ht="15.5">
      <c r="B152" s="191">
        <v>148</v>
      </c>
      <c r="C152" s="101"/>
      <c r="D152" s="101"/>
      <c r="E152" s="104"/>
      <c r="F152" s="116"/>
      <c r="G152" s="134" t="s">
        <v>23</v>
      </c>
      <c r="H152" s="144"/>
      <c r="I152" s="135" t="str">
        <f t="shared" si="74"/>
        <v>ABS</v>
      </c>
      <c r="J152" s="144"/>
      <c r="K152" s="135" t="str">
        <f t="shared" si="75"/>
        <v>ABS</v>
      </c>
      <c r="L152" s="192" t="str">
        <f t="shared" si="76"/>
        <v>ABS</v>
      </c>
      <c r="M152" s="154" t="str">
        <f t="shared" si="77"/>
        <v>ABS</v>
      </c>
      <c r="N152" s="134" t="s">
        <v>30</v>
      </c>
      <c r="O152" s="144"/>
      <c r="P152" s="135" t="str">
        <f t="shared" si="78"/>
        <v>ABS</v>
      </c>
      <c r="Q152" s="144"/>
      <c r="R152" s="135" t="str">
        <f t="shared" si="79"/>
        <v>ABS</v>
      </c>
      <c r="S152" s="193" t="str">
        <f t="shared" si="80"/>
        <v>ABS</v>
      </c>
      <c r="T152" s="154" t="str">
        <f t="shared" si="81"/>
        <v>ABS</v>
      </c>
      <c r="U152" s="137" t="s">
        <v>32</v>
      </c>
      <c r="V152" s="144"/>
      <c r="W152" s="135" t="str">
        <f t="shared" si="82"/>
        <v>ABS</v>
      </c>
      <c r="X152" s="144"/>
      <c r="Y152" s="135" t="str">
        <f t="shared" si="83"/>
        <v>ABS</v>
      </c>
      <c r="Z152" s="193" t="str">
        <f t="shared" si="84"/>
        <v>ABS</v>
      </c>
      <c r="AA152" s="154" t="str">
        <f t="shared" si="85"/>
        <v>ABS</v>
      </c>
      <c r="AB152" s="145"/>
      <c r="AC152" s="144"/>
      <c r="AD152" s="135" t="str">
        <f t="shared" si="86"/>
        <v>ABS</v>
      </c>
      <c r="AE152" s="144"/>
      <c r="AF152" s="135" t="str">
        <f t="shared" si="87"/>
        <v>ABS</v>
      </c>
      <c r="AG152" s="193" t="str">
        <f t="shared" si="88"/>
        <v>ABS</v>
      </c>
      <c r="AH152" s="154" t="str">
        <f t="shared" si="89"/>
        <v>ABS</v>
      </c>
      <c r="AI152" s="145"/>
      <c r="AJ152" s="144"/>
      <c r="AK152" s="135" t="str">
        <f t="shared" si="90"/>
        <v>ABS</v>
      </c>
      <c r="AL152" s="144"/>
      <c r="AM152" s="135" t="str">
        <f t="shared" si="91"/>
        <v>ABS</v>
      </c>
      <c r="AN152" s="193" t="str">
        <f t="shared" si="92"/>
        <v>ABS</v>
      </c>
      <c r="AO152" s="154" t="str">
        <f t="shared" si="93"/>
        <v>ABS</v>
      </c>
      <c r="AP152" s="145"/>
      <c r="AQ152" s="144"/>
      <c r="AR152" s="135" t="str">
        <f t="shared" si="102"/>
        <v>ABS</v>
      </c>
      <c r="AS152" s="144"/>
      <c r="AT152" s="135" t="str">
        <f t="shared" si="95"/>
        <v>ABS</v>
      </c>
      <c r="AU152" s="193" t="str">
        <f t="shared" si="96"/>
        <v>ABS</v>
      </c>
      <c r="AV152" s="154" t="str">
        <f t="shared" si="97"/>
        <v>ABS</v>
      </c>
      <c r="AW152" s="144"/>
      <c r="AX152" s="129"/>
      <c r="AY152" s="128"/>
      <c r="AZ152" s="135" t="str">
        <f t="shared" si="98"/>
        <v>ABS</v>
      </c>
      <c r="BA152" s="128"/>
      <c r="BB152" s="135" t="str">
        <f t="shared" si="99"/>
        <v>ABS</v>
      </c>
      <c r="BC152" s="193" t="str">
        <f t="shared" si="100"/>
        <v>ABS</v>
      </c>
      <c r="BD152" s="188" t="str">
        <f t="shared" si="101"/>
        <v>ABS</v>
      </c>
    </row>
    <row r="153" spans="2:56" ht="15.5">
      <c r="B153" s="191">
        <v>149</v>
      </c>
      <c r="C153" s="101"/>
      <c r="D153" s="103"/>
      <c r="E153" s="104"/>
      <c r="F153" s="116"/>
      <c r="G153" s="134" t="s">
        <v>23</v>
      </c>
      <c r="H153" s="144"/>
      <c r="I153" s="135" t="str">
        <f t="shared" si="74"/>
        <v>ABS</v>
      </c>
      <c r="J153" s="144"/>
      <c r="K153" s="135" t="str">
        <f t="shared" si="75"/>
        <v>ABS</v>
      </c>
      <c r="L153" s="192" t="str">
        <f t="shared" si="76"/>
        <v>ABS</v>
      </c>
      <c r="M153" s="154" t="str">
        <f t="shared" si="77"/>
        <v>ABS</v>
      </c>
      <c r="N153" s="134" t="s">
        <v>30</v>
      </c>
      <c r="O153" s="144"/>
      <c r="P153" s="135" t="str">
        <f t="shared" si="78"/>
        <v>ABS</v>
      </c>
      <c r="Q153" s="144"/>
      <c r="R153" s="135" t="str">
        <f t="shared" si="79"/>
        <v>ABS</v>
      </c>
      <c r="S153" s="193" t="str">
        <f t="shared" si="80"/>
        <v>ABS</v>
      </c>
      <c r="T153" s="154" t="str">
        <f t="shared" si="81"/>
        <v>ABS</v>
      </c>
      <c r="U153" s="137" t="s">
        <v>32</v>
      </c>
      <c r="V153" s="144"/>
      <c r="W153" s="135" t="str">
        <f t="shared" si="82"/>
        <v>ABS</v>
      </c>
      <c r="X153" s="144"/>
      <c r="Y153" s="135" t="str">
        <f t="shared" si="83"/>
        <v>ABS</v>
      </c>
      <c r="Z153" s="193" t="str">
        <f t="shared" si="84"/>
        <v>ABS</v>
      </c>
      <c r="AA153" s="154" t="str">
        <f t="shared" si="85"/>
        <v>ABS</v>
      </c>
      <c r="AB153" s="145"/>
      <c r="AC153" s="144"/>
      <c r="AD153" s="135" t="str">
        <f t="shared" si="86"/>
        <v>ABS</v>
      </c>
      <c r="AE153" s="144"/>
      <c r="AF153" s="135" t="str">
        <f t="shared" si="87"/>
        <v>ABS</v>
      </c>
      <c r="AG153" s="193" t="str">
        <f t="shared" si="88"/>
        <v>ABS</v>
      </c>
      <c r="AH153" s="154" t="str">
        <f t="shared" si="89"/>
        <v>ABS</v>
      </c>
      <c r="AI153" s="145"/>
      <c r="AJ153" s="144"/>
      <c r="AK153" s="135" t="str">
        <f t="shared" si="90"/>
        <v>ABS</v>
      </c>
      <c r="AL153" s="144"/>
      <c r="AM153" s="135" t="str">
        <f t="shared" si="91"/>
        <v>ABS</v>
      </c>
      <c r="AN153" s="193" t="str">
        <f t="shared" si="92"/>
        <v>ABS</v>
      </c>
      <c r="AO153" s="154" t="str">
        <f t="shared" si="93"/>
        <v>ABS</v>
      </c>
      <c r="AP153" s="145"/>
      <c r="AQ153" s="144"/>
      <c r="AR153" s="135" t="str">
        <f t="shared" si="102"/>
        <v>ABS</v>
      </c>
      <c r="AS153" s="144"/>
      <c r="AT153" s="135" t="str">
        <f t="shared" si="95"/>
        <v>ABS</v>
      </c>
      <c r="AU153" s="193" t="str">
        <f t="shared" si="96"/>
        <v>ABS</v>
      </c>
      <c r="AV153" s="154" t="str">
        <f t="shared" si="97"/>
        <v>ABS</v>
      </c>
      <c r="AW153" s="144"/>
      <c r="AX153" s="129"/>
      <c r="AY153" s="128"/>
      <c r="AZ153" s="135" t="str">
        <f t="shared" si="98"/>
        <v>ABS</v>
      </c>
      <c r="BA153" s="128"/>
      <c r="BB153" s="135" t="str">
        <f t="shared" si="99"/>
        <v>ABS</v>
      </c>
      <c r="BC153" s="193" t="str">
        <f t="shared" si="100"/>
        <v>ABS</v>
      </c>
      <c r="BD153" s="188" t="str">
        <f t="shared" si="101"/>
        <v>ABS</v>
      </c>
    </row>
    <row r="154" spans="2:56" ht="16" thickBot="1">
      <c r="B154" s="195">
        <v>150</v>
      </c>
      <c r="C154" s="102"/>
      <c r="D154" s="102"/>
      <c r="E154" s="105"/>
      <c r="F154" s="196"/>
      <c r="G154" s="148" t="s">
        <v>23</v>
      </c>
      <c r="H154" s="149"/>
      <c r="I154" s="150" t="str">
        <f t="shared" si="74"/>
        <v>ABS</v>
      </c>
      <c r="J154" s="149"/>
      <c r="K154" s="150" t="str">
        <f t="shared" si="75"/>
        <v>ABS</v>
      </c>
      <c r="L154" s="197" t="str">
        <f t="shared" si="76"/>
        <v>ABS</v>
      </c>
      <c r="M154" s="189" t="str">
        <f t="shared" si="77"/>
        <v>ABS</v>
      </c>
      <c r="N154" s="148" t="s">
        <v>30</v>
      </c>
      <c r="O154" s="149"/>
      <c r="P154" s="150" t="str">
        <f t="shared" si="78"/>
        <v>ABS</v>
      </c>
      <c r="Q154" s="149"/>
      <c r="R154" s="150" t="str">
        <f t="shared" si="79"/>
        <v>ABS</v>
      </c>
      <c r="S154" s="198" t="str">
        <f t="shared" si="80"/>
        <v>ABS</v>
      </c>
      <c r="T154" s="189" t="str">
        <f t="shared" si="81"/>
        <v>ABS</v>
      </c>
      <c r="U154" s="187" t="s">
        <v>32</v>
      </c>
      <c r="V154" s="149"/>
      <c r="W154" s="150" t="str">
        <f t="shared" si="82"/>
        <v>ABS</v>
      </c>
      <c r="X154" s="149"/>
      <c r="Y154" s="150" t="str">
        <f t="shared" si="83"/>
        <v>ABS</v>
      </c>
      <c r="Z154" s="198" t="str">
        <f t="shared" si="84"/>
        <v>ABS</v>
      </c>
      <c r="AA154" s="189" t="str">
        <f t="shared" si="85"/>
        <v>ABS</v>
      </c>
      <c r="AB154" s="151"/>
      <c r="AC154" s="149"/>
      <c r="AD154" s="150" t="str">
        <f t="shared" si="86"/>
        <v>ABS</v>
      </c>
      <c r="AE154" s="149"/>
      <c r="AF154" s="150" t="str">
        <f t="shared" si="87"/>
        <v>ABS</v>
      </c>
      <c r="AG154" s="198" t="str">
        <f t="shared" si="88"/>
        <v>ABS</v>
      </c>
      <c r="AH154" s="189" t="str">
        <f t="shared" si="89"/>
        <v>ABS</v>
      </c>
      <c r="AI154" s="151"/>
      <c r="AJ154" s="149"/>
      <c r="AK154" s="150" t="str">
        <f t="shared" si="90"/>
        <v>ABS</v>
      </c>
      <c r="AL154" s="149"/>
      <c r="AM154" s="150" t="str">
        <f t="shared" si="91"/>
        <v>ABS</v>
      </c>
      <c r="AN154" s="198" t="str">
        <f t="shared" si="92"/>
        <v>ABS</v>
      </c>
      <c r="AO154" s="189" t="str">
        <f t="shared" si="93"/>
        <v>ABS</v>
      </c>
      <c r="AP154" s="151"/>
      <c r="AQ154" s="149"/>
      <c r="AR154" s="150" t="str">
        <f t="shared" si="102"/>
        <v>ABS</v>
      </c>
      <c r="AS154" s="149"/>
      <c r="AT154" s="150" t="str">
        <f t="shared" si="95"/>
        <v>ABS</v>
      </c>
      <c r="AU154" s="198" t="str">
        <f t="shared" si="96"/>
        <v>ABS</v>
      </c>
      <c r="AV154" s="189" t="str">
        <f t="shared" si="97"/>
        <v>ABS</v>
      </c>
      <c r="AW154" s="149"/>
      <c r="AX154" s="152"/>
      <c r="AY154" s="153"/>
      <c r="AZ154" s="150" t="str">
        <f t="shared" si="98"/>
        <v>ABS</v>
      </c>
      <c r="BA154" s="153"/>
      <c r="BB154" s="150" t="str">
        <f t="shared" si="99"/>
        <v>ABS</v>
      </c>
      <c r="BC154" s="198" t="str">
        <f t="shared" si="100"/>
        <v>ABS</v>
      </c>
      <c r="BD154" s="190" t="str">
        <f t="shared" si="101"/>
        <v>ABS</v>
      </c>
    </row>
    <row r="155" spans="2:56" ht="15" thickTop="1"/>
  </sheetData>
  <sheetProtection sheet="1" scenarios="1" formatCells="0"/>
  <mergeCells count="41">
    <mergeCell ref="AW2:AW4"/>
    <mergeCell ref="AP2:AV2"/>
    <mergeCell ref="AP3:AP4"/>
    <mergeCell ref="AR3:AR4"/>
    <mergeCell ref="AT3:AT4"/>
    <mergeCell ref="AV3:AV4"/>
    <mergeCell ref="AX2:BD2"/>
    <mergeCell ref="AX3:AX4"/>
    <mergeCell ref="AZ3:AZ4"/>
    <mergeCell ref="BB3:BB4"/>
    <mergeCell ref="BD3:BD4"/>
    <mergeCell ref="AB2:AH2"/>
    <mergeCell ref="AB3:AB4"/>
    <mergeCell ref="AD3:AD4"/>
    <mergeCell ref="AF3:AF4"/>
    <mergeCell ref="AH3:AH4"/>
    <mergeCell ref="AI2:AO2"/>
    <mergeCell ref="AI3:AI4"/>
    <mergeCell ref="AK3:AK4"/>
    <mergeCell ref="AM3:AM4"/>
    <mergeCell ref="AO3:AO4"/>
    <mergeCell ref="T3:T4"/>
    <mergeCell ref="U2:AA2"/>
    <mergeCell ref="U3:U4"/>
    <mergeCell ref="W3:W4"/>
    <mergeCell ref="Y3:Y4"/>
    <mergeCell ref="AA3:AA4"/>
    <mergeCell ref="N2:T2"/>
    <mergeCell ref="N3:N4"/>
    <mergeCell ref="P3:P4"/>
    <mergeCell ref="R3:R4"/>
    <mergeCell ref="B2:B4"/>
    <mergeCell ref="C2:C4"/>
    <mergeCell ref="D2:D4"/>
    <mergeCell ref="E2:E4"/>
    <mergeCell ref="F2:F4"/>
    <mergeCell ref="G2:M2"/>
    <mergeCell ref="G3:G4"/>
    <mergeCell ref="I3:I4"/>
    <mergeCell ref="K3:K4"/>
    <mergeCell ref="M3:M4"/>
  </mergeCells>
  <conditionalFormatting sqref="H5:H14 H16:H154">
    <cfRule type="cellIs" dxfId="56" priority="88" operator="greaterThan">
      <formula>75</formula>
    </cfRule>
    <cfRule type="cellIs" dxfId="55" priority="89" operator="greaterThan">
      <formula>75</formula>
    </cfRule>
  </conditionalFormatting>
  <conditionalFormatting sqref="J5:J14 J16:J154">
    <cfRule type="cellIs" dxfId="54" priority="87" operator="greaterThan">
      <formula>25</formula>
    </cfRule>
  </conditionalFormatting>
  <conditionalFormatting sqref="O12:O14 O16:O154">
    <cfRule type="cellIs" dxfId="53" priority="86" operator="greaterThan">
      <formula>75</formula>
    </cfRule>
  </conditionalFormatting>
  <conditionalFormatting sqref="Q12:Q14 Q16:Q154">
    <cfRule type="cellIs" dxfId="52" priority="85" operator="greaterThan">
      <formula>25</formula>
    </cfRule>
  </conditionalFormatting>
  <conditionalFormatting sqref="V5:V14 V16:V154">
    <cfRule type="cellIs" dxfId="51" priority="84" operator="greaterThan">
      <formula>75</formula>
    </cfRule>
  </conditionalFormatting>
  <conditionalFormatting sqref="X5:X14 X16:X154">
    <cfRule type="cellIs" dxfId="50" priority="83" operator="greaterThan">
      <formula>25</formula>
    </cfRule>
  </conditionalFormatting>
  <conditionalFormatting sqref="H99:H124">
    <cfRule type="cellIs" dxfId="49" priority="67" operator="greaterThan">
      <formula>75</formula>
    </cfRule>
    <cfRule type="cellIs" dxfId="48" priority="68" operator="greaterThan">
      <formula>75</formula>
    </cfRule>
  </conditionalFormatting>
  <conditionalFormatting sqref="H5:H14 H16:H98">
    <cfRule type="containsText" dxfId="47" priority="66" operator="containsText" text="Ab">
      <formula>NOT(ISERROR(SEARCH("Ab",H5)))</formula>
    </cfRule>
  </conditionalFormatting>
  <conditionalFormatting sqref="J99:J124">
    <cfRule type="cellIs" dxfId="46" priority="65" operator="greaterThan">
      <formula>25</formula>
    </cfRule>
  </conditionalFormatting>
  <conditionalFormatting sqref="J5:J14 J16:J98">
    <cfRule type="containsText" dxfId="45" priority="64" operator="containsText" text="Ab">
      <formula>NOT(ISERROR(SEARCH("Ab",J5)))</formula>
    </cfRule>
  </conditionalFormatting>
  <conditionalFormatting sqref="O99:O124">
    <cfRule type="cellIs" dxfId="44" priority="63" operator="greaterThan">
      <formula>75</formula>
    </cfRule>
  </conditionalFormatting>
  <conditionalFormatting sqref="O12:O14 O16:O98">
    <cfRule type="containsText" dxfId="43" priority="62" operator="containsText" text="Ab">
      <formula>NOT(ISERROR(SEARCH("Ab",O12)))</formula>
    </cfRule>
  </conditionalFormatting>
  <conditionalFormatting sqref="Q99:Q124">
    <cfRule type="cellIs" dxfId="42" priority="61" operator="greaterThan">
      <formula>25</formula>
    </cfRule>
  </conditionalFormatting>
  <conditionalFormatting sqref="Q12:Q14 Q16:Q98">
    <cfRule type="containsText" dxfId="41" priority="60" operator="containsText" text="Ab">
      <formula>NOT(ISERROR(SEARCH("Ab",Q12)))</formula>
    </cfRule>
  </conditionalFormatting>
  <conditionalFormatting sqref="V99:V124">
    <cfRule type="cellIs" dxfId="40" priority="59" operator="greaterThan">
      <formula>75</formula>
    </cfRule>
  </conditionalFormatting>
  <conditionalFormatting sqref="V5:V14 V16:V98">
    <cfRule type="containsText" dxfId="39" priority="58" operator="containsText" text="Ab">
      <formula>NOT(ISERROR(SEARCH("Ab",V5)))</formula>
    </cfRule>
  </conditionalFormatting>
  <conditionalFormatting sqref="X99:X124">
    <cfRule type="cellIs" dxfId="38" priority="57" operator="greaterThan">
      <formula>25</formula>
    </cfRule>
  </conditionalFormatting>
  <conditionalFormatting sqref="X5:X14 X16:X98">
    <cfRule type="containsText" dxfId="37" priority="56" operator="containsText" text="Ab">
      <formula>NOT(ISERROR(SEARCH("Ab",X5)))</formula>
    </cfRule>
  </conditionalFormatting>
  <conditionalFormatting sqref="H15">
    <cfRule type="cellIs" dxfId="36" priority="38" operator="greaterThan">
      <formula>75</formula>
    </cfRule>
    <cfRule type="cellIs" dxfId="35" priority="39" operator="greaterThan">
      <formula>75</formula>
    </cfRule>
  </conditionalFormatting>
  <conditionalFormatting sqref="J15">
    <cfRule type="cellIs" dxfId="34" priority="37" operator="greaterThan">
      <formula>25</formula>
    </cfRule>
  </conditionalFormatting>
  <conditionalFormatting sqref="O15">
    <cfRule type="cellIs" dxfId="33" priority="36" operator="greaterThan">
      <formula>75</formula>
    </cfRule>
  </conditionalFormatting>
  <conditionalFormatting sqref="Q15">
    <cfRule type="cellIs" dxfId="32" priority="35" operator="greaterThan">
      <formula>25</formula>
    </cfRule>
  </conditionalFormatting>
  <conditionalFormatting sqref="V15">
    <cfRule type="cellIs" dxfId="31" priority="34" operator="greaterThan">
      <formula>75</formula>
    </cfRule>
  </conditionalFormatting>
  <conditionalFormatting sqref="X15">
    <cfRule type="cellIs" dxfId="30" priority="33" operator="greaterThan">
      <formula>25</formula>
    </cfRule>
  </conditionalFormatting>
  <conditionalFormatting sqref="H15">
    <cfRule type="containsText" dxfId="29" priority="21" operator="containsText" text="Ab">
      <formula>NOT(ISERROR(SEARCH("Ab",H15)))</formula>
    </cfRule>
  </conditionalFormatting>
  <conditionalFormatting sqref="J15">
    <cfRule type="containsText" dxfId="28" priority="20" operator="containsText" text="Ab">
      <formula>NOT(ISERROR(SEARCH("Ab",J15)))</formula>
    </cfRule>
  </conditionalFormatting>
  <conditionalFormatting sqref="O15">
    <cfRule type="containsText" dxfId="27" priority="19" operator="containsText" text="Ab">
      <formula>NOT(ISERROR(SEARCH("Ab",O15)))</formula>
    </cfRule>
  </conditionalFormatting>
  <conditionalFormatting sqref="Q15">
    <cfRule type="containsText" dxfId="26" priority="18" operator="containsText" text="Ab">
      <formula>NOT(ISERROR(SEARCH("Ab",Q15)))</formula>
    </cfRule>
  </conditionalFormatting>
  <conditionalFormatting sqref="V15">
    <cfRule type="containsText" dxfId="25" priority="17" operator="containsText" text="Ab">
      <formula>NOT(ISERROR(SEARCH("Ab",V15)))</formula>
    </cfRule>
  </conditionalFormatting>
  <conditionalFormatting sqref="X15">
    <cfRule type="containsText" dxfId="24" priority="16" operator="containsText" text="Ab">
      <formula>NOT(ISERROR(SEARCH("Ab",X15)))</formula>
    </cfRule>
  </conditionalFormatting>
  <conditionalFormatting sqref="O5:O11">
    <cfRule type="cellIs" dxfId="23" priority="4" operator="greaterThan">
      <formula>75</formula>
    </cfRule>
    <cfRule type="cellIs" dxfId="22" priority="5" operator="greaterThan">
      <formula>75</formula>
    </cfRule>
  </conditionalFormatting>
  <conditionalFormatting sqref="O5:O11">
    <cfRule type="containsText" dxfId="21" priority="3" operator="containsText" text="Ab">
      <formula>NOT(ISERROR(SEARCH("Ab",O5)))</formula>
    </cfRule>
  </conditionalFormatting>
  <conditionalFormatting sqref="Q5:Q11">
    <cfRule type="cellIs" dxfId="20" priority="2" operator="greaterThan">
      <formula>25</formula>
    </cfRule>
  </conditionalFormatting>
  <conditionalFormatting sqref="Q5:Q11">
    <cfRule type="containsText" dxfId="19" priority="1" operator="containsText" text="Ab">
      <formula>NOT(ISERROR(SEARCH("Ab",Q5)))</formula>
    </cfRule>
  </conditionalFormatting>
  <pageMargins left="0.25" right="0.25" top="0.75" bottom="0.75" header="0.3" footer="0.3"/>
  <pageSetup paperSize="9" orientation="landscape" r:id="rId1"/>
  <ignoredErrors>
    <ignoredError sqref="G125:G154 N5:N6 U6:U14 N16:N154 U16:U154 N8:N1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A1:AX163"/>
  <sheetViews>
    <sheetView zoomScale="85" zoomScaleNormal="85" workbookViewId="0">
      <selection activeCell="AT12" sqref="AT12"/>
    </sheetView>
  </sheetViews>
  <sheetFormatPr defaultColWidth="8.90625" defaultRowHeight="14.5"/>
  <cols>
    <col min="1" max="1" width="2.36328125" style="2" customWidth="1"/>
    <col min="2" max="2" width="10" style="2" customWidth="1"/>
    <col min="3" max="3" width="23.36328125" style="2" customWidth="1"/>
    <col min="4" max="4" width="12.36328125" style="2" customWidth="1"/>
    <col min="5" max="5" width="16.453125" style="2" customWidth="1"/>
    <col min="6" max="6" width="7.90625" style="2" customWidth="1"/>
    <col min="7" max="7" width="7" style="2" customWidth="1"/>
    <col min="8" max="8" width="6.90625" style="2" customWidth="1"/>
    <col min="9" max="9" width="8" style="2" customWidth="1"/>
    <col min="10" max="10" width="7.90625" style="2" customWidth="1"/>
    <col min="11" max="11" width="7.453125" style="2" customWidth="1"/>
    <col min="12" max="12" width="6.6328125" style="2" customWidth="1"/>
    <col min="13" max="13" width="6.54296875" style="2" customWidth="1"/>
    <col min="14" max="14" width="7.6328125" style="2" customWidth="1"/>
    <col min="15" max="15" width="7" style="2" customWidth="1"/>
    <col min="16" max="16" width="8.08984375" style="2" customWidth="1"/>
    <col min="17" max="17" width="7.453125" style="2" customWidth="1"/>
    <col min="18" max="18" width="7.36328125" style="2" customWidth="1"/>
    <col min="19" max="19" width="8.54296875" style="2" customWidth="1"/>
    <col min="20" max="20" width="8.08984375" style="2" customWidth="1"/>
    <col min="21" max="21" width="7.90625" style="2" customWidth="1"/>
    <col min="22" max="23" width="7.36328125" style="2" customWidth="1"/>
    <col min="24" max="24" width="7.6328125" style="2" customWidth="1"/>
    <col min="25" max="25" width="7.36328125" style="2" customWidth="1"/>
    <col min="26" max="27" width="7.90625" style="2" customWidth="1"/>
    <col min="28" max="28" width="7.08984375" style="2" customWidth="1"/>
    <col min="29" max="29" width="8.08984375" style="2" customWidth="1"/>
    <col min="30" max="30" width="7.453125" style="2" customWidth="1"/>
    <col min="31" max="31" width="8.08984375" style="2" customWidth="1"/>
    <col min="32" max="32" width="7.6328125" style="2" customWidth="1"/>
    <col min="33" max="33" width="6.6328125" style="2" customWidth="1"/>
    <col min="34" max="34" width="8.08984375" style="2" customWidth="1"/>
    <col min="35" max="35" width="7.36328125" style="2" customWidth="1"/>
    <col min="36" max="36" width="10" style="2" customWidth="1"/>
    <col min="37" max="37" width="7.453125" style="2" customWidth="1"/>
    <col min="38" max="38" width="7" style="2" customWidth="1"/>
    <col min="39" max="39" width="7.36328125" style="2" customWidth="1"/>
    <col min="40" max="41" width="8.36328125" style="2" customWidth="1"/>
    <col min="42" max="42" width="10.08984375" style="2" customWidth="1"/>
    <col min="43" max="43" width="8.90625" style="2"/>
    <col min="44" max="44" width="11.90625" style="2" customWidth="1"/>
    <col min="45" max="45" width="22.08984375" style="2" customWidth="1"/>
    <col min="46" max="46" width="9.6328125" style="2" customWidth="1"/>
    <col min="47" max="47" width="22.36328125" style="2" customWidth="1"/>
    <col min="48" max="48" width="8.90625" style="2"/>
    <col min="49" max="49" width="23.90625" style="2" hidden="1" customWidth="1"/>
    <col min="50" max="50" width="25.54296875" style="2" hidden="1" customWidth="1"/>
    <col min="51" max="16384" width="8.90625" style="2"/>
  </cols>
  <sheetData>
    <row r="1" spans="1:50" s="29" customFormat="1" ht="15" thickBot="1">
      <c r="B1" s="29">
        <v>1</v>
      </c>
      <c r="C1" s="29">
        <v>2</v>
      </c>
      <c r="D1" s="29">
        <v>3</v>
      </c>
      <c r="E1" s="29">
        <v>4</v>
      </c>
      <c r="F1" s="29">
        <v>5</v>
      </c>
      <c r="G1" s="29">
        <v>6</v>
      </c>
      <c r="H1" s="29">
        <v>7</v>
      </c>
      <c r="I1" s="29">
        <v>8</v>
      </c>
      <c r="J1" s="29">
        <v>9</v>
      </c>
      <c r="K1" s="29">
        <v>10</v>
      </c>
      <c r="L1" s="29">
        <v>11</v>
      </c>
      <c r="M1" s="29">
        <v>12</v>
      </c>
      <c r="N1" s="29">
        <v>13</v>
      </c>
      <c r="O1" s="29">
        <v>14</v>
      </c>
      <c r="P1" s="29">
        <v>15</v>
      </c>
      <c r="Q1" s="29">
        <v>16</v>
      </c>
      <c r="R1" s="29">
        <v>17</v>
      </c>
      <c r="S1" s="29">
        <v>18</v>
      </c>
      <c r="T1" s="29">
        <v>19</v>
      </c>
      <c r="U1" s="29">
        <v>20</v>
      </c>
      <c r="V1" s="29">
        <v>21</v>
      </c>
      <c r="W1" s="29">
        <v>22</v>
      </c>
      <c r="X1" s="29">
        <v>23</v>
      </c>
      <c r="Y1" s="29">
        <v>24</v>
      </c>
      <c r="Z1" s="29">
        <v>25</v>
      </c>
      <c r="AA1" s="29">
        <v>26</v>
      </c>
      <c r="AB1" s="29">
        <v>27</v>
      </c>
      <c r="AC1" s="29">
        <v>28</v>
      </c>
      <c r="AD1" s="29">
        <v>29</v>
      </c>
      <c r="AE1" s="29">
        <v>30</v>
      </c>
      <c r="AF1" s="29">
        <v>31</v>
      </c>
      <c r="AG1" s="29">
        <v>32</v>
      </c>
      <c r="AH1" s="29">
        <v>33</v>
      </c>
      <c r="AI1" s="29">
        <v>34</v>
      </c>
      <c r="AJ1" s="29">
        <v>35</v>
      </c>
      <c r="AK1" s="29">
        <v>36</v>
      </c>
      <c r="AL1" s="29">
        <v>37</v>
      </c>
      <c r="AM1" s="29">
        <v>38</v>
      </c>
      <c r="AN1" s="29">
        <v>39</v>
      </c>
      <c r="AO1" s="29">
        <v>40</v>
      </c>
    </row>
    <row r="2" spans="1:50" ht="14.4" customHeight="1">
      <c r="A2" s="111"/>
      <c r="B2" s="252" t="s">
        <v>14</v>
      </c>
      <c r="C2" s="255" t="s">
        <v>1</v>
      </c>
      <c r="D2" s="255" t="s">
        <v>2</v>
      </c>
      <c r="E2" s="257" t="s">
        <v>24</v>
      </c>
      <c r="F2" s="259" t="s">
        <v>44</v>
      </c>
      <c r="G2" s="255"/>
      <c r="H2" s="255"/>
      <c r="I2" s="267"/>
      <c r="J2" s="260"/>
      <c r="K2" s="259" t="s">
        <v>45</v>
      </c>
      <c r="L2" s="255"/>
      <c r="M2" s="255"/>
      <c r="N2" s="263"/>
      <c r="O2" s="260"/>
      <c r="P2" s="259" t="s">
        <v>46</v>
      </c>
      <c r="Q2" s="255"/>
      <c r="R2" s="255"/>
      <c r="S2" s="255"/>
      <c r="T2" s="260"/>
      <c r="U2" s="259" t="s">
        <v>262</v>
      </c>
      <c r="V2" s="255"/>
      <c r="W2" s="255"/>
      <c r="X2" s="255"/>
      <c r="Y2" s="260"/>
      <c r="Z2" s="259" t="s">
        <v>260</v>
      </c>
      <c r="AA2" s="255"/>
      <c r="AB2" s="255"/>
      <c r="AC2" s="255"/>
      <c r="AD2" s="260"/>
      <c r="AE2" s="259" t="s">
        <v>263</v>
      </c>
      <c r="AF2" s="255"/>
      <c r="AG2" s="255"/>
      <c r="AH2" s="255"/>
      <c r="AI2" s="260"/>
      <c r="AJ2" s="261" t="s">
        <v>7</v>
      </c>
      <c r="AK2" s="262" t="s">
        <v>42</v>
      </c>
      <c r="AL2" s="255"/>
      <c r="AM2" s="255"/>
      <c r="AN2" s="255"/>
      <c r="AO2" s="263"/>
      <c r="AP2" s="269" t="s">
        <v>227</v>
      </c>
      <c r="AQ2" s="270" t="s">
        <v>228</v>
      </c>
      <c r="AR2" s="270" t="s">
        <v>229</v>
      </c>
      <c r="AS2" s="270" t="s">
        <v>225</v>
      </c>
      <c r="AT2" s="270"/>
      <c r="AU2" s="270" t="s">
        <v>226</v>
      </c>
      <c r="AV2" s="270"/>
      <c r="AW2" s="249" t="s">
        <v>241</v>
      </c>
      <c r="AX2" s="250" t="s">
        <v>242</v>
      </c>
    </row>
    <row r="3" spans="1:50" ht="14.4" customHeight="1">
      <c r="A3" s="111"/>
      <c r="B3" s="253"/>
      <c r="C3" s="235"/>
      <c r="D3" s="235"/>
      <c r="E3" s="228"/>
      <c r="F3" s="226" t="s">
        <v>3</v>
      </c>
      <c r="G3" s="228" t="s">
        <v>50</v>
      </c>
      <c r="H3" s="239" t="s">
        <v>51</v>
      </c>
      <c r="I3" s="228" t="s">
        <v>6</v>
      </c>
      <c r="J3" s="265" t="s">
        <v>224</v>
      </c>
      <c r="K3" s="226" t="s">
        <v>3</v>
      </c>
      <c r="L3" s="228" t="s">
        <v>50</v>
      </c>
      <c r="M3" s="228" t="s">
        <v>51</v>
      </c>
      <c r="N3" s="229" t="s">
        <v>6</v>
      </c>
      <c r="O3" s="230" t="s">
        <v>224</v>
      </c>
      <c r="P3" s="226" t="s">
        <v>3</v>
      </c>
      <c r="Q3" s="228" t="s">
        <v>50</v>
      </c>
      <c r="R3" s="228" t="s">
        <v>51</v>
      </c>
      <c r="S3" s="229" t="s">
        <v>6</v>
      </c>
      <c r="T3" s="230" t="s">
        <v>224</v>
      </c>
      <c r="U3" s="226" t="s">
        <v>3</v>
      </c>
      <c r="V3" s="228" t="s">
        <v>50</v>
      </c>
      <c r="W3" s="228" t="s">
        <v>51</v>
      </c>
      <c r="X3" s="229" t="s">
        <v>6</v>
      </c>
      <c r="Y3" s="230" t="s">
        <v>224</v>
      </c>
      <c r="Z3" s="226" t="s">
        <v>3</v>
      </c>
      <c r="AA3" s="228" t="s">
        <v>50</v>
      </c>
      <c r="AB3" s="228" t="s">
        <v>51</v>
      </c>
      <c r="AC3" s="229" t="s">
        <v>6</v>
      </c>
      <c r="AD3" s="230" t="s">
        <v>224</v>
      </c>
      <c r="AE3" s="226" t="s">
        <v>3</v>
      </c>
      <c r="AF3" s="228" t="s">
        <v>50</v>
      </c>
      <c r="AG3" s="228" t="s">
        <v>51</v>
      </c>
      <c r="AH3" s="229" t="s">
        <v>6</v>
      </c>
      <c r="AI3" s="230" t="s">
        <v>224</v>
      </c>
      <c r="AJ3" s="248"/>
      <c r="AK3" s="243" t="s">
        <v>3</v>
      </c>
      <c r="AL3" s="228" t="s">
        <v>50</v>
      </c>
      <c r="AM3" s="228" t="s">
        <v>51</v>
      </c>
      <c r="AN3" s="229" t="s">
        <v>6</v>
      </c>
      <c r="AO3" s="239" t="s">
        <v>224</v>
      </c>
      <c r="AP3" s="269"/>
      <c r="AQ3" s="270"/>
      <c r="AR3" s="270"/>
      <c r="AS3" s="270"/>
      <c r="AT3" s="270"/>
      <c r="AU3" s="270"/>
      <c r="AV3" s="270"/>
      <c r="AW3" s="249"/>
      <c r="AX3" s="250"/>
    </row>
    <row r="4" spans="1:50" ht="15" thickBot="1">
      <c r="A4" s="111"/>
      <c r="B4" s="254"/>
      <c r="C4" s="256"/>
      <c r="D4" s="256"/>
      <c r="E4" s="258"/>
      <c r="F4" s="264"/>
      <c r="G4" s="229"/>
      <c r="H4" s="240"/>
      <c r="I4" s="229"/>
      <c r="J4" s="266"/>
      <c r="K4" s="227"/>
      <c r="L4" s="229"/>
      <c r="M4" s="229"/>
      <c r="N4" s="251"/>
      <c r="O4" s="231"/>
      <c r="P4" s="227"/>
      <c r="Q4" s="229"/>
      <c r="R4" s="229"/>
      <c r="S4" s="251"/>
      <c r="T4" s="231"/>
      <c r="U4" s="227"/>
      <c r="V4" s="229"/>
      <c r="W4" s="229"/>
      <c r="X4" s="251"/>
      <c r="Y4" s="231"/>
      <c r="Z4" s="227"/>
      <c r="AA4" s="229"/>
      <c r="AB4" s="229"/>
      <c r="AC4" s="251"/>
      <c r="AD4" s="231"/>
      <c r="AE4" s="227"/>
      <c r="AF4" s="229"/>
      <c r="AG4" s="229"/>
      <c r="AH4" s="251"/>
      <c r="AI4" s="268"/>
      <c r="AJ4" s="248"/>
      <c r="AK4" s="244"/>
      <c r="AL4" s="258"/>
      <c r="AM4" s="258"/>
      <c r="AN4" s="251"/>
      <c r="AO4" s="271"/>
      <c r="AP4" s="269"/>
      <c r="AQ4" s="270"/>
      <c r="AR4" s="270"/>
      <c r="AS4" s="270"/>
      <c r="AT4" s="270"/>
      <c r="AU4" s="270"/>
      <c r="AV4" s="270"/>
      <c r="AW4" s="249"/>
      <c r="AX4" s="250"/>
    </row>
    <row r="5" spans="1:50" ht="15.5">
      <c r="A5" s="112"/>
      <c r="B5" s="34">
        <f>INPUT!F5</f>
        <v>11300001</v>
      </c>
      <c r="C5" s="35" t="str">
        <f>INPUT!C5</f>
        <v>Suraj Bhattari</v>
      </c>
      <c r="D5" s="107">
        <f>INPUT!D5</f>
        <v>58766</v>
      </c>
      <c r="E5" s="108">
        <f>INPUT!E5</f>
        <v>781130010001</v>
      </c>
      <c r="F5" s="36" t="str">
        <f>INPUT!G5</f>
        <v>0021</v>
      </c>
      <c r="G5" s="37" t="str">
        <f>INPUT!I5</f>
        <v>2.8</v>
      </c>
      <c r="H5" s="37" t="str">
        <f>INPUT!K5</f>
        <v>3.6</v>
      </c>
      <c r="I5" s="37" t="str">
        <f>INPUT!M5</f>
        <v>B+</v>
      </c>
      <c r="J5" s="38">
        <f>INPUT!L5</f>
        <v>3</v>
      </c>
      <c r="K5" s="205" t="str">
        <f>INPUT!N5</f>
        <v>0031</v>
      </c>
      <c r="L5" s="37" t="str">
        <f>INPUT!P5</f>
        <v>2.4</v>
      </c>
      <c r="M5" s="37" t="str">
        <f>INPUT!R5</f>
        <v>3.6</v>
      </c>
      <c r="N5" s="37" t="str">
        <f>INPUT!T5</f>
        <v>B</v>
      </c>
      <c r="O5" s="46">
        <f>INPUT!S5</f>
        <v>2.6999999999999997</v>
      </c>
      <c r="P5" s="202" t="str">
        <f>INPUT!U5</f>
        <v>0051</v>
      </c>
      <c r="Q5" s="37" t="str">
        <f>INPUT!W5</f>
        <v>3.6</v>
      </c>
      <c r="R5" s="37" t="str">
        <f>INPUT!Y5</f>
        <v>3.6</v>
      </c>
      <c r="S5" s="37" t="str">
        <f>INPUT!AA5</f>
        <v>A</v>
      </c>
      <c r="T5" s="38">
        <f>INPUT!Z5</f>
        <v>3.6</v>
      </c>
      <c r="U5" s="208">
        <v>1051</v>
      </c>
      <c r="V5" s="37" t="str">
        <f>INPUT!AD5</f>
        <v>2.0</v>
      </c>
      <c r="W5" s="37" t="str">
        <f>INPUT!AF5</f>
        <v>3.6</v>
      </c>
      <c r="X5" s="37" t="str">
        <f>INPUT!AH5</f>
        <v>C+</v>
      </c>
      <c r="Y5" s="46">
        <f>INPUT!AG5</f>
        <v>2.4</v>
      </c>
      <c r="Z5" s="208">
        <f>INPUT!AI5</f>
        <v>2111</v>
      </c>
      <c r="AA5" s="37" t="str">
        <f>INPUT!AK5</f>
        <v>3.6</v>
      </c>
      <c r="AB5" s="37" t="str">
        <f>INPUT!AM5</f>
        <v>3.6</v>
      </c>
      <c r="AC5" s="37" t="str">
        <f>INPUT!AO5</f>
        <v>A</v>
      </c>
      <c r="AD5" s="46">
        <f>INPUT!AN5</f>
        <v>3.6</v>
      </c>
      <c r="AE5" s="203">
        <f>INPUT!AP5</f>
        <v>3331</v>
      </c>
      <c r="AF5" s="37" t="str">
        <f>INPUT!AR5</f>
        <v>4.0</v>
      </c>
      <c r="AG5" s="37" t="str">
        <f>INPUT!AT5</f>
        <v>2.0</v>
      </c>
      <c r="AH5" s="37" t="str">
        <f>INPUT!AV5</f>
        <v>A</v>
      </c>
      <c r="AI5" s="38">
        <f>INPUT!AU5</f>
        <v>3.5</v>
      </c>
      <c r="AJ5" s="40">
        <f>IFERROR((3*J5+4*O5+5*T5+5*Y5+5*AD5+5*AI5)/27,"-")</f>
        <v>3.159259259259259</v>
      </c>
      <c r="AK5" s="211">
        <f>INPUT!AX5</f>
        <v>0</v>
      </c>
      <c r="AL5" s="37" t="str">
        <f>INPUT!AZ5</f>
        <v>ABS</v>
      </c>
      <c r="AM5" s="37" t="str">
        <f>INPUT!BB5</f>
        <v>ABS</v>
      </c>
      <c r="AN5" s="37" t="str">
        <f>INPUT!BD5</f>
        <v>ABS</v>
      </c>
      <c r="AO5" s="212" t="str">
        <f>INPUT!BC5</f>
        <v>ABS</v>
      </c>
      <c r="AP5" s="41" t="str">
        <f>IF(OR(J5="NG",O5="NG",T5="NG",Y5="NG",AD5="NG",AI5="NG"),"NG","")</f>
        <v/>
      </c>
      <c r="AQ5" s="41" t="str">
        <f>IF(OR(G5="ABS",L5="ABS",Q5="ABS",V5="ABS",AA5="ABS",AF5="ABS"),"ABS","")</f>
        <v/>
      </c>
      <c r="AR5" s="41" t="str">
        <f>IF(OR(G5="-",L5="-",Q5="-",V5="-",AA5="-",AF5,AP5="NG"),"W","")</f>
        <v/>
      </c>
      <c r="AS5" s="42" t="str">
        <f>INDEX(Name,MATCH(AW5,$AX$5:$AX$154,0))</f>
        <v>Nikhil</v>
      </c>
      <c r="AT5" s="43">
        <f t="array" ref="AT5:AT9">LARGE(GPA,{1;2;3;4;5})</f>
        <v>3.7851851851851852</v>
      </c>
      <c r="AU5" s="42" t="str">
        <f>INDEX(Name,MATCH(AW12,$AX$5:$AX$154,0))</f>
        <v>siddhartha</v>
      </c>
      <c r="AV5" s="43">
        <f t="array" ref="AV5:AV9">SMALL(GPA,{1;2;3;4;5})</f>
        <v>2.5444444444444447</v>
      </c>
      <c r="AW5" s="114" t="str">
        <f>AT5&amp;"_"&amp;COUNTIF($AT$5:AT5,AT5)</f>
        <v>3.78518518518519_1</v>
      </c>
      <c r="AX5" s="114" t="str">
        <f>AJ5&amp;"_"&amp;COUNTIF($AJ$5:AJ5,AJ5)</f>
        <v>3.15925925925926_1</v>
      </c>
    </row>
    <row r="6" spans="1:50" ht="15.5">
      <c r="A6" s="112"/>
      <c r="B6" s="44">
        <f>INPUT!F6</f>
        <v>11300002</v>
      </c>
      <c r="C6" s="45" t="str">
        <f>INPUT!C6</f>
        <v>Nikhil</v>
      </c>
      <c r="D6" s="109">
        <f>INPUT!D6</f>
        <v>58225</v>
      </c>
      <c r="E6" s="110">
        <f>INPUT!E6</f>
        <v>781130010002</v>
      </c>
      <c r="F6" s="39" t="str">
        <f>INPUT!G6</f>
        <v>0011</v>
      </c>
      <c r="G6" s="37" t="str">
        <f>INPUT!I6</f>
        <v>3.6</v>
      </c>
      <c r="H6" s="37" t="str">
        <f>INPUT!K6</f>
        <v>4.0</v>
      </c>
      <c r="I6" s="37" t="str">
        <f>INPUT!M6</f>
        <v>A+</v>
      </c>
      <c r="J6" s="38">
        <f>INPUT!L6</f>
        <v>3.6999999999999997</v>
      </c>
      <c r="K6" s="205" t="str">
        <f>INPUT!N6</f>
        <v>0031</v>
      </c>
      <c r="L6" s="37" t="str">
        <f>INPUT!P6</f>
        <v>3.2</v>
      </c>
      <c r="M6" s="37" t="str">
        <f>INPUT!R6</f>
        <v>4.0</v>
      </c>
      <c r="N6" s="37" t="str">
        <f>INPUT!T6</f>
        <v>A</v>
      </c>
      <c r="O6" s="46">
        <f>INPUT!S6</f>
        <v>3.4000000000000004</v>
      </c>
      <c r="P6" s="202" t="str">
        <f>INPUT!U6</f>
        <v>0051</v>
      </c>
      <c r="Q6" s="37" t="str">
        <f>INPUT!W6</f>
        <v>4.0</v>
      </c>
      <c r="R6" s="37" t="str">
        <f>INPUT!Y6</f>
        <v>4.0</v>
      </c>
      <c r="S6" s="37" t="str">
        <f>INPUT!AA6</f>
        <v>A+</v>
      </c>
      <c r="T6" s="38">
        <f>INPUT!Z6</f>
        <v>4</v>
      </c>
      <c r="U6" s="208">
        <f>INPUT!AB6</f>
        <v>1051</v>
      </c>
      <c r="V6" s="37" t="str">
        <f>INPUT!AD6</f>
        <v>4.0</v>
      </c>
      <c r="W6" s="37" t="str">
        <f>INPUT!AF6</f>
        <v>4.0</v>
      </c>
      <c r="X6" s="37" t="str">
        <f>INPUT!AH6</f>
        <v>A+</v>
      </c>
      <c r="Y6" s="46">
        <f>INPUT!AG6</f>
        <v>4</v>
      </c>
      <c r="Z6" s="208">
        <f>INPUT!AI6</f>
        <v>2231</v>
      </c>
      <c r="AA6" s="37" t="str">
        <f>INPUT!AK6</f>
        <v>4.0</v>
      </c>
      <c r="AB6" s="37" t="str">
        <f>INPUT!AM6</f>
        <v>4.0</v>
      </c>
      <c r="AC6" s="37" t="str">
        <f>INPUT!AO6</f>
        <v>A+</v>
      </c>
      <c r="AD6" s="46">
        <f>INPUT!AN6</f>
        <v>4</v>
      </c>
      <c r="AE6" s="203">
        <f>INPUT!AP6</f>
        <v>3091</v>
      </c>
      <c r="AF6" s="37" t="str">
        <f>INPUT!AR6</f>
        <v>4.0</v>
      </c>
      <c r="AG6" s="37" t="str">
        <f>INPUT!AT6</f>
        <v>2.0</v>
      </c>
      <c r="AH6" s="37" t="str">
        <f>INPUT!AV6</f>
        <v>A</v>
      </c>
      <c r="AI6" s="38">
        <f>INPUT!AU6</f>
        <v>3.5</v>
      </c>
      <c r="AJ6" s="40">
        <f t="shared" ref="AJ6:AJ69" si="0">IFERROR((3*J6+4*O6+5*T6+5*Y6+5*AD6+5*AI6)/27,"-")</f>
        <v>3.7851851851851852</v>
      </c>
      <c r="AK6" s="211">
        <f>INPUT!AX6</f>
        <v>0</v>
      </c>
      <c r="AL6" s="37" t="str">
        <f>INPUT!AZ6</f>
        <v>ABS</v>
      </c>
      <c r="AM6" s="37" t="str">
        <f>INPUT!BB6</f>
        <v>ABS</v>
      </c>
      <c r="AN6" s="37" t="str">
        <f>INPUT!BD6</f>
        <v>ABS</v>
      </c>
      <c r="AO6" s="212" t="str">
        <f>INPUT!BC6</f>
        <v>ABS</v>
      </c>
      <c r="AP6" s="41" t="str">
        <f t="shared" ref="AP6:AP69" si="1">IF(OR(J6="NG",O6="NG",T6="NG",Y6="NG",AD6="NG",AI6="NG"),"NG","")</f>
        <v/>
      </c>
      <c r="AQ6" s="41" t="str">
        <f t="shared" ref="AQ6:AQ69" si="2">IF(OR(G6="ABS",L6="ABS",Q6="ABS",V6="ABS",AA6="ABS",AF6="ABS"),"ABS","")</f>
        <v/>
      </c>
      <c r="AR6" s="41" t="str">
        <f t="shared" ref="AR6:AR69" si="3">IF(OR(G6="-",L6="-",Q6="-",V6="-",AA6="-",AF6,AP6="NG"),"W","")</f>
        <v/>
      </c>
      <c r="AS6" s="42" t="str">
        <f>INDEX(Name,MATCH(AW6,$AX$5:$AX$154,0))</f>
        <v>dipika</v>
      </c>
      <c r="AT6" s="43">
        <v>3.2037037037037037</v>
      </c>
      <c r="AU6" s="42" t="str">
        <f>INDEX(Name,MATCH(AW13,$AX$5:$AX$154,0))</f>
        <v>ramesh</v>
      </c>
      <c r="AV6" s="43">
        <v>3.0111111111111111</v>
      </c>
      <c r="AW6" s="114" t="str">
        <f>AT6&amp;"_"&amp;COUNTIF($AT$5:AT6,AT6)</f>
        <v>3.2037037037037_1</v>
      </c>
      <c r="AX6" s="114" t="str">
        <f>AJ6&amp;"_"&amp;COUNTIF($AJ$5:AJ6,AJ6)</f>
        <v>3.78518518518519_1</v>
      </c>
    </row>
    <row r="7" spans="1:50" ht="15.5">
      <c r="A7" s="112"/>
      <c r="B7" s="44">
        <f>INPUT!F7</f>
        <v>11300003</v>
      </c>
      <c r="C7" s="45" t="str">
        <f>INPUT!C7</f>
        <v>dipika</v>
      </c>
      <c r="D7" s="109">
        <f>INPUT!D7</f>
        <v>58025</v>
      </c>
      <c r="E7" s="110">
        <f>INPUT!E7</f>
        <v>781130010003</v>
      </c>
      <c r="F7" s="39" t="str">
        <f>INPUT!G7</f>
        <v>0011</v>
      </c>
      <c r="G7" s="37" t="str">
        <f>INPUT!I7</f>
        <v>2.8</v>
      </c>
      <c r="H7" s="37" t="str">
        <f>INPUT!K7</f>
        <v>3.6</v>
      </c>
      <c r="I7" s="37" t="str">
        <f>INPUT!M7</f>
        <v>B+</v>
      </c>
      <c r="J7" s="38">
        <f>INPUT!L7</f>
        <v>3</v>
      </c>
      <c r="K7" s="205" t="str">
        <f>INPUT!N7</f>
        <v>0031</v>
      </c>
      <c r="L7" s="37" t="str">
        <f>INPUT!P7</f>
        <v>2.8</v>
      </c>
      <c r="M7" s="37" t="str">
        <f>INPUT!R7</f>
        <v>3.6</v>
      </c>
      <c r="N7" s="37" t="str">
        <f>INPUT!T7</f>
        <v>B+</v>
      </c>
      <c r="O7" s="46">
        <f>INPUT!S7</f>
        <v>2.9999999999999996</v>
      </c>
      <c r="P7" s="202" t="str">
        <f>INPUT!U7</f>
        <v>0051</v>
      </c>
      <c r="Q7" s="37" t="str">
        <f>INPUT!W7</f>
        <v>3.2</v>
      </c>
      <c r="R7" s="37" t="str">
        <f>INPUT!Y7</f>
        <v>3.6</v>
      </c>
      <c r="S7" s="37" t="str">
        <f>INPUT!AA7</f>
        <v>A</v>
      </c>
      <c r="T7" s="38">
        <f>INPUT!Z7</f>
        <v>3.3</v>
      </c>
      <c r="U7" s="208">
        <f>INPUT!AB7</f>
        <v>1051</v>
      </c>
      <c r="V7" s="37" t="str">
        <f>INPUT!AD7</f>
        <v>2.4</v>
      </c>
      <c r="W7" s="37" t="str">
        <f>INPUT!AF7</f>
        <v>3.6</v>
      </c>
      <c r="X7" s="37" t="str">
        <f>INPUT!AH7</f>
        <v>B</v>
      </c>
      <c r="Y7" s="46">
        <f>INPUT!AG7</f>
        <v>2.7</v>
      </c>
      <c r="Z7" s="208">
        <f>INPUT!AI7</f>
        <v>2231</v>
      </c>
      <c r="AA7" s="37" t="str">
        <f>INPUT!AK7</f>
        <v>3.6</v>
      </c>
      <c r="AB7" s="37" t="str">
        <f>INPUT!AM7</f>
        <v>3.6</v>
      </c>
      <c r="AC7" s="37" t="str">
        <f>INPUT!AO7</f>
        <v>A</v>
      </c>
      <c r="AD7" s="46">
        <f>INPUT!AN7</f>
        <v>3.6</v>
      </c>
      <c r="AE7" s="203">
        <f>INPUT!AP7</f>
        <v>3091</v>
      </c>
      <c r="AF7" s="37" t="str">
        <f>INPUT!AR7</f>
        <v>4.0</v>
      </c>
      <c r="AG7" s="37" t="str">
        <f>INPUT!AT7</f>
        <v>2.0</v>
      </c>
      <c r="AH7" s="37" t="str">
        <f>INPUT!AV7</f>
        <v>A</v>
      </c>
      <c r="AI7" s="38">
        <f>INPUT!AU7</f>
        <v>3.5</v>
      </c>
      <c r="AJ7" s="40">
        <f t="shared" si="0"/>
        <v>3.2037037037037037</v>
      </c>
      <c r="AK7" s="211">
        <f>INPUT!AX7</f>
        <v>0</v>
      </c>
      <c r="AL7" s="37" t="str">
        <f>INPUT!AZ7</f>
        <v>ABS</v>
      </c>
      <c r="AM7" s="37" t="str">
        <f>INPUT!BB7</f>
        <v>ABS</v>
      </c>
      <c r="AN7" s="37" t="str">
        <f>INPUT!BD7</f>
        <v>ABS</v>
      </c>
      <c r="AO7" s="212" t="str">
        <f>INPUT!BC7</f>
        <v>ABS</v>
      </c>
      <c r="AP7" s="41" t="str">
        <f t="shared" si="1"/>
        <v/>
      </c>
      <c r="AQ7" s="41" t="str">
        <f t="shared" si="2"/>
        <v/>
      </c>
      <c r="AR7" s="41" t="str">
        <f t="shared" si="3"/>
        <v/>
      </c>
      <c r="AS7" s="42" t="str">
        <f>INDEX(Name,MATCH(AW7,$AX$5:$AX$154,0))</f>
        <v>Suraj Bhattari</v>
      </c>
      <c r="AT7" s="43">
        <v>3.159259259259259</v>
      </c>
      <c r="AU7" s="42" t="str">
        <f>INDEX(Name,MATCH(AW14,$AX$5:$AX$154,0))</f>
        <v>hari</v>
      </c>
      <c r="AV7" s="43">
        <v>3.074074074074074</v>
      </c>
      <c r="AW7" s="114" t="str">
        <f>AT7&amp;"_"&amp;COUNTIF($AT$5:AT7,AT7)</f>
        <v>3.15925925925926_1</v>
      </c>
      <c r="AX7" s="114" t="str">
        <f>AJ7&amp;"_"&amp;COUNTIF($AJ$5:AJ7,AJ7)</f>
        <v>3.2037037037037_1</v>
      </c>
    </row>
    <row r="8" spans="1:50" ht="15.5">
      <c r="A8" s="112"/>
      <c r="B8" s="44">
        <f>INPUT!F8</f>
        <v>11300004</v>
      </c>
      <c r="C8" s="45" t="str">
        <f>INPUT!C8</f>
        <v>krish</v>
      </c>
      <c r="D8" s="109">
        <f>INPUT!D8</f>
        <v>59328</v>
      </c>
      <c r="E8" s="110">
        <f>INPUT!E8</f>
        <v>781130010004</v>
      </c>
      <c r="F8" s="39" t="str">
        <f>INPUT!G8</f>
        <v>0011</v>
      </c>
      <c r="G8" s="37" t="str">
        <f>INPUT!I8</f>
        <v>3.6</v>
      </c>
      <c r="H8" s="37" t="str">
        <f>INPUT!K8</f>
        <v>3.6</v>
      </c>
      <c r="I8" s="37" t="str">
        <f>INPUT!M8</f>
        <v>A</v>
      </c>
      <c r="J8" s="38">
        <f>INPUT!L8</f>
        <v>3.6</v>
      </c>
      <c r="K8" s="205" t="str">
        <f>INPUT!N8</f>
        <v>0031</v>
      </c>
      <c r="L8" s="37" t="str">
        <f>INPUT!P8</f>
        <v>2.8</v>
      </c>
      <c r="M8" s="37" t="str">
        <f>INPUT!R8</f>
        <v>2.8</v>
      </c>
      <c r="N8" s="37" t="str">
        <f>INPUT!T8</f>
        <v>B</v>
      </c>
      <c r="O8" s="46">
        <f>INPUT!S8</f>
        <v>2.8</v>
      </c>
      <c r="P8" s="202" t="str">
        <f>INPUT!U8</f>
        <v>0051</v>
      </c>
      <c r="Q8" s="37" t="str">
        <f>INPUT!W8</f>
        <v>3.6</v>
      </c>
      <c r="R8" s="37" t="str">
        <f>INPUT!Y8</f>
        <v>3.6</v>
      </c>
      <c r="S8" s="37" t="str">
        <f>INPUT!AA8</f>
        <v>A</v>
      </c>
      <c r="T8" s="38">
        <f>INPUT!Z8</f>
        <v>3.6</v>
      </c>
      <c r="U8" s="208">
        <f>INPUT!AB8</f>
        <v>1031</v>
      </c>
      <c r="V8" s="37" t="str">
        <f>INPUT!AD8</f>
        <v>3.6</v>
      </c>
      <c r="W8" s="37" t="str">
        <f>INPUT!AF8</f>
        <v>3.6</v>
      </c>
      <c r="X8" s="37" t="str">
        <f>INPUT!AH8</f>
        <v>A</v>
      </c>
      <c r="Y8" s="46">
        <f>INPUT!AG8</f>
        <v>3.6</v>
      </c>
      <c r="Z8" s="208">
        <f>INPUT!AI8</f>
        <v>2151</v>
      </c>
      <c r="AA8" s="37" t="str">
        <f>INPUT!AK8</f>
        <v>3.6</v>
      </c>
      <c r="AB8" s="37" t="str">
        <f>INPUT!AM8</f>
        <v>4.0</v>
      </c>
      <c r="AC8" s="37" t="str">
        <f>INPUT!AO8</f>
        <v>A+</v>
      </c>
      <c r="AD8" s="46">
        <f>INPUT!AN8</f>
        <v>3.7</v>
      </c>
      <c r="AE8" s="203">
        <f>INPUT!AP8</f>
        <v>3031</v>
      </c>
      <c r="AF8" s="37" t="str">
        <f>INPUT!AR8</f>
        <v>3.6</v>
      </c>
      <c r="AG8" s="37" t="str">
        <f>INPUT!AT8</f>
        <v>-</v>
      </c>
      <c r="AH8" s="37" t="str">
        <f>INPUT!AV8</f>
        <v>NG</v>
      </c>
      <c r="AI8" s="38" t="str">
        <f>INPUT!AU8</f>
        <v>NG</v>
      </c>
      <c r="AJ8" s="40" t="str">
        <f t="shared" si="0"/>
        <v>-</v>
      </c>
      <c r="AK8" s="211">
        <f>INPUT!AX8</f>
        <v>0</v>
      </c>
      <c r="AL8" s="37" t="str">
        <f>INPUT!AZ8</f>
        <v>ABS</v>
      </c>
      <c r="AM8" s="37" t="str">
        <f>INPUT!BB8</f>
        <v>ABS</v>
      </c>
      <c r="AN8" s="37" t="str">
        <f>INPUT!BD8</f>
        <v>ABS</v>
      </c>
      <c r="AO8" s="212" t="str">
        <f>INPUT!BC8</f>
        <v>ABS</v>
      </c>
      <c r="AP8" s="41" t="str">
        <f t="shared" si="1"/>
        <v>NG</v>
      </c>
      <c r="AQ8" s="41" t="str">
        <f t="shared" si="2"/>
        <v/>
      </c>
      <c r="AR8" s="41" t="str">
        <f t="shared" si="3"/>
        <v>W</v>
      </c>
      <c r="AS8" s="42" t="str">
        <f>INDEX(Name,MATCH(AW8,$AX$5:$AX$154,0))</f>
        <v>hari</v>
      </c>
      <c r="AT8" s="43">
        <v>3.074074074074074</v>
      </c>
      <c r="AU8" s="42" t="str">
        <f>INDEX(Name,MATCH(AW15,$AX$5:$AX$154,0))</f>
        <v>Suraj Bhattari</v>
      </c>
      <c r="AV8" s="43">
        <v>3.159259259259259</v>
      </c>
      <c r="AW8" s="114" t="str">
        <f>AT8&amp;"_"&amp;COUNTIF($AT$5:AT8,AT8)</f>
        <v>3.07407407407407_1</v>
      </c>
      <c r="AX8" s="114" t="str">
        <f>AJ8&amp;"_"&amp;COUNTIF($AJ$5:AJ8,AJ8)</f>
        <v>-_1</v>
      </c>
    </row>
    <row r="9" spans="1:50" ht="15.5">
      <c r="A9" s="112"/>
      <c r="B9" s="44">
        <f>INPUT!F9</f>
        <v>11300005</v>
      </c>
      <c r="C9" s="45" t="str">
        <f>INPUT!C9</f>
        <v>lekhnath</v>
      </c>
      <c r="D9" s="109">
        <f>INPUT!D9</f>
        <v>57734</v>
      </c>
      <c r="E9" s="110">
        <f>INPUT!E9</f>
        <v>781130010005</v>
      </c>
      <c r="F9" s="39" t="str">
        <f>INPUT!G9</f>
        <v>0011</v>
      </c>
      <c r="G9" s="37" t="str">
        <f>INPUT!I9</f>
        <v>3.2</v>
      </c>
      <c r="H9" s="37" t="str">
        <f>INPUT!K9</f>
        <v>3.6</v>
      </c>
      <c r="I9" s="37" t="str">
        <f>INPUT!M9</f>
        <v>A</v>
      </c>
      <c r="J9" s="38">
        <f>INPUT!L9</f>
        <v>3.3000000000000003</v>
      </c>
      <c r="K9" s="205" t="str">
        <f>INPUT!N9</f>
        <v>0031</v>
      </c>
      <c r="L9" s="37" t="str">
        <f>INPUT!P9</f>
        <v>2.4</v>
      </c>
      <c r="M9" s="37" t="str">
        <f>INPUT!R9</f>
        <v>2.4</v>
      </c>
      <c r="N9" s="37" t="str">
        <f>INPUT!T9</f>
        <v>C+</v>
      </c>
      <c r="O9" s="46">
        <f>INPUT!S9</f>
        <v>2.4</v>
      </c>
      <c r="P9" s="202" t="str">
        <f>INPUT!U9</f>
        <v>0051</v>
      </c>
      <c r="Q9" s="37" t="str">
        <f>INPUT!W9</f>
        <v>3.2</v>
      </c>
      <c r="R9" s="37" t="str">
        <f>INPUT!Y9</f>
        <v>3.6</v>
      </c>
      <c r="S9" s="37" t="str">
        <f>INPUT!AA9</f>
        <v>A</v>
      </c>
      <c r="T9" s="38">
        <f>INPUT!Z9</f>
        <v>3.3</v>
      </c>
      <c r="U9" s="208">
        <f>INPUT!AB9</f>
        <v>1031</v>
      </c>
      <c r="V9" s="37" t="str">
        <f>INPUT!AD9</f>
        <v>2.8</v>
      </c>
      <c r="W9" s="37" t="str">
        <f>INPUT!AF9</f>
        <v>3.6</v>
      </c>
      <c r="X9" s="37" t="str">
        <f>INPUT!AH9</f>
        <v>B+</v>
      </c>
      <c r="Y9" s="46">
        <f>INPUT!AG9</f>
        <v>3</v>
      </c>
      <c r="Z9" s="208">
        <f>INPUT!AI9</f>
        <v>2151</v>
      </c>
      <c r="AA9" s="37" t="str">
        <f>INPUT!AK9</f>
        <v>3.6</v>
      </c>
      <c r="AB9" s="37" t="str">
        <f>INPUT!AM9</f>
        <v>4.0</v>
      </c>
      <c r="AC9" s="37" t="str">
        <f>INPUT!AO9</f>
        <v>A+</v>
      </c>
      <c r="AD9" s="46">
        <f>INPUT!AN9</f>
        <v>3.7</v>
      </c>
      <c r="AE9" s="203">
        <f>INPUT!AP9</f>
        <v>3031</v>
      </c>
      <c r="AF9" s="37" t="str">
        <f>INPUT!AR9</f>
        <v>2.8</v>
      </c>
      <c r="AG9" s="37" t="str">
        <f>INPUT!AT9</f>
        <v>-</v>
      </c>
      <c r="AH9" s="37" t="str">
        <f>INPUT!AV9</f>
        <v>NG</v>
      </c>
      <c r="AI9" s="38" t="str">
        <f>INPUT!AU9</f>
        <v>NG</v>
      </c>
      <c r="AJ9" s="40" t="str">
        <f t="shared" si="0"/>
        <v>-</v>
      </c>
      <c r="AK9" s="211">
        <f>INPUT!AX9</f>
        <v>0</v>
      </c>
      <c r="AL9" s="37" t="str">
        <f>INPUT!AZ9</f>
        <v>ABS</v>
      </c>
      <c r="AM9" s="37" t="str">
        <f>INPUT!BB9</f>
        <v>ABS</v>
      </c>
      <c r="AN9" s="37" t="str">
        <f>INPUT!BD9</f>
        <v>ABS</v>
      </c>
      <c r="AO9" s="212" t="str">
        <f>INPUT!BC9</f>
        <v>ABS</v>
      </c>
      <c r="AP9" s="41" t="str">
        <f t="shared" si="1"/>
        <v>NG</v>
      </c>
      <c r="AQ9" s="41" t="str">
        <f t="shared" si="2"/>
        <v/>
      </c>
      <c r="AR9" s="41" t="str">
        <f t="shared" si="3"/>
        <v>W</v>
      </c>
      <c r="AS9" s="42" t="str">
        <f>INDEX(Name,MATCH(AW9,$AX$5:$AX$154,0))</f>
        <v>ramesh</v>
      </c>
      <c r="AT9" s="43">
        <v>3.0111111111111111</v>
      </c>
      <c r="AU9" s="42" t="str">
        <f>INDEX(Name,MATCH(AW16,$AX$5:$AX$154,0))</f>
        <v>dipika</v>
      </c>
      <c r="AV9" s="43">
        <v>3.2037037037037037</v>
      </c>
      <c r="AW9" s="114" t="str">
        <f>AT9&amp;"_"&amp;COUNTIF($AT$5:AT9,AT9)</f>
        <v>3.01111111111111_1</v>
      </c>
      <c r="AX9" s="114" t="str">
        <f>AJ9&amp;"_"&amp;COUNTIF($AJ$5:AJ9,AJ9)</f>
        <v>-_2</v>
      </c>
    </row>
    <row r="10" spans="1:50">
      <c r="A10" s="112"/>
      <c r="B10" s="44">
        <f>INPUT!F10</f>
        <v>11300006</v>
      </c>
      <c r="C10" s="45" t="str">
        <f>INPUT!C10</f>
        <v>ramesh</v>
      </c>
      <c r="D10" s="109">
        <f>INPUT!D10</f>
        <v>58089</v>
      </c>
      <c r="E10" s="110">
        <f>INPUT!E10</f>
        <v>781130010006</v>
      </c>
      <c r="F10" s="39" t="str">
        <f>INPUT!G10</f>
        <v>0011</v>
      </c>
      <c r="G10" s="37" t="str">
        <f>INPUT!I10</f>
        <v>3.6</v>
      </c>
      <c r="H10" s="37" t="str">
        <f>INPUT!K10</f>
        <v>3.6</v>
      </c>
      <c r="I10" s="37" t="str">
        <f>INPUT!M10</f>
        <v>A</v>
      </c>
      <c r="J10" s="38">
        <f>INPUT!L10</f>
        <v>3.6</v>
      </c>
      <c r="K10" s="205" t="str">
        <f>INPUT!N10</f>
        <v>0031</v>
      </c>
      <c r="L10" s="37" t="str">
        <f>INPUT!P10</f>
        <v>2.0</v>
      </c>
      <c r="M10" s="37" t="str">
        <f>INPUT!R10</f>
        <v>2.0</v>
      </c>
      <c r="N10" s="37" t="str">
        <f>INPUT!T10</f>
        <v>C</v>
      </c>
      <c r="O10" s="46">
        <f>INPUT!S10</f>
        <v>2</v>
      </c>
      <c r="P10" s="202" t="str">
        <f>INPUT!U10</f>
        <v>0051</v>
      </c>
      <c r="Q10" s="37" t="str">
        <f>INPUT!W10</f>
        <v>3.6</v>
      </c>
      <c r="R10" s="37" t="str">
        <f>INPUT!Y10</f>
        <v>3.6</v>
      </c>
      <c r="S10" s="37" t="str">
        <f>INPUT!AA10</f>
        <v>A</v>
      </c>
      <c r="T10" s="38">
        <f>INPUT!Z10</f>
        <v>3.6</v>
      </c>
      <c r="U10" s="208">
        <f>INPUT!AB10</f>
        <v>1031</v>
      </c>
      <c r="V10" s="37" t="str">
        <f>INPUT!AD10</f>
        <v>3.2</v>
      </c>
      <c r="W10" s="37" t="str">
        <f>INPUT!AF10</f>
        <v>3.6</v>
      </c>
      <c r="X10" s="37" t="str">
        <f>INPUT!AH10</f>
        <v>A</v>
      </c>
      <c r="Y10" s="46">
        <f>INPUT!AG10</f>
        <v>3.3</v>
      </c>
      <c r="Z10" s="208">
        <f>INPUT!AI10</f>
        <v>2151</v>
      </c>
      <c r="AA10" s="37" t="str">
        <f>INPUT!AK10</f>
        <v>3.6</v>
      </c>
      <c r="AB10" s="37" t="str">
        <f>INPUT!AM10</f>
        <v>4.0</v>
      </c>
      <c r="AC10" s="37" t="str">
        <f>INPUT!AO10</f>
        <v>A+</v>
      </c>
      <c r="AD10" s="46">
        <f>INPUT!AN10</f>
        <v>3.7</v>
      </c>
      <c r="AE10" s="203">
        <f>INPUT!AP10</f>
        <v>3031</v>
      </c>
      <c r="AF10" s="37" t="str">
        <f>INPUT!AR10</f>
        <v>2.0</v>
      </c>
      <c r="AG10" s="37" t="str">
        <f>INPUT!AT10</f>
        <v>1.6</v>
      </c>
      <c r="AH10" s="37" t="str">
        <f>INPUT!AV10</f>
        <v>C</v>
      </c>
      <c r="AI10" s="38">
        <f>INPUT!AU10</f>
        <v>1.9</v>
      </c>
      <c r="AJ10" s="40">
        <f t="shared" si="0"/>
        <v>3.0111111111111111</v>
      </c>
      <c r="AK10" s="211">
        <f>INPUT!AX10</f>
        <v>0</v>
      </c>
      <c r="AL10" s="37" t="str">
        <f>INPUT!AZ10</f>
        <v>ABS</v>
      </c>
      <c r="AM10" s="37" t="str">
        <f>INPUT!BB10</f>
        <v>ABS</v>
      </c>
      <c r="AN10" s="37" t="str">
        <f>INPUT!BD10</f>
        <v>ABS</v>
      </c>
      <c r="AO10" s="212" t="str">
        <f>INPUT!BC10</f>
        <v>ABS</v>
      </c>
      <c r="AP10" s="41" t="str">
        <f t="shared" si="1"/>
        <v/>
      </c>
      <c r="AQ10" s="41" t="str">
        <f t="shared" si="2"/>
        <v/>
      </c>
      <c r="AR10" s="41" t="str">
        <f t="shared" si="3"/>
        <v/>
      </c>
      <c r="AS10" s="30"/>
      <c r="AT10" s="30"/>
      <c r="AU10" s="30"/>
      <c r="AV10" s="30"/>
      <c r="AX10" s="114" t="str">
        <f>AJ10&amp;"_"&amp;COUNTIF($AJ$5:AJ10,AJ10)</f>
        <v>3.01111111111111_1</v>
      </c>
    </row>
    <row r="11" spans="1:50">
      <c r="A11" s="112"/>
      <c r="B11" s="44">
        <f>INPUT!F11</f>
        <v>11300007</v>
      </c>
      <c r="C11" s="45" t="str">
        <f>INPUT!C11</f>
        <v>hari</v>
      </c>
      <c r="D11" s="109">
        <f>INPUT!D11</f>
        <v>58564</v>
      </c>
      <c r="E11" s="110">
        <f>INPUT!E11</f>
        <v>781130010007</v>
      </c>
      <c r="F11" s="39" t="str">
        <f>INPUT!G11</f>
        <v>0011</v>
      </c>
      <c r="G11" s="37" t="str">
        <f>INPUT!I11</f>
        <v>3.6</v>
      </c>
      <c r="H11" s="37" t="str">
        <f>INPUT!K11</f>
        <v>4.0</v>
      </c>
      <c r="I11" s="37" t="str">
        <f>INPUT!M11</f>
        <v>A+</v>
      </c>
      <c r="J11" s="38">
        <f>INPUT!L11</f>
        <v>3.6999999999999997</v>
      </c>
      <c r="K11" s="205" t="str">
        <f>INPUT!N11</f>
        <v>0031</v>
      </c>
      <c r="L11" s="37" t="str">
        <f>INPUT!P11</f>
        <v>1.6</v>
      </c>
      <c r="M11" s="37" t="str">
        <f>INPUT!R11</f>
        <v>1.6</v>
      </c>
      <c r="N11" s="37" t="str">
        <f>INPUT!T11</f>
        <v>D</v>
      </c>
      <c r="O11" s="46">
        <f>INPUT!S11</f>
        <v>1.6</v>
      </c>
      <c r="P11" s="202" t="str">
        <f>INPUT!U11</f>
        <v>0051</v>
      </c>
      <c r="Q11" s="37" t="str">
        <f>INPUT!W11</f>
        <v>2.8</v>
      </c>
      <c r="R11" s="37" t="str">
        <f>INPUT!Y11</f>
        <v>3.6</v>
      </c>
      <c r="S11" s="37" t="str">
        <f>INPUT!AA11</f>
        <v>B+</v>
      </c>
      <c r="T11" s="38">
        <f>INPUT!Z11</f>
        <v>3</v>
      </c>
      <c r="U11" s="208">
        <f>INPUT!AB11</f>
        <v>1151</v>
      </c>
      <c r="V11" s="37" t="str">
        <f>INPUT!AD11</f>
        <v>2.8</v>
      </c>
      <c r="W11" s="37" t="str">
        <f>INPUT!AF11</f>
        <v>3.6</v>
      </c>
      <c r="X11" s="37" t="str">
        <f>INPUT!AH11</f>
        <v>B+</v>
      </c>
      <c r="Y11" s="46">
        <f>INPUT!AG11</f>
        <v>3</v>
      </c>
      <c r="Z11" s="208">
        <f>INPUT!AI11</f>
        <v>1151</v>
      </c>
      <c r="AA11" s="37" t="str">
        <f>INPUT!AK11</f>
        <v>3.6</v>
      </c>
      <c r="AB11" s="37" t="str">
        <f>INPUT!AM11</f>
        <v>3.6</v>
      </c>
      <c r="AC11" s="37" t="str">
        <f>INPUT!AO11</f>
        <v>A</v>
      </c>
      <c r="AD11" s="46">
        <f>INPUT!AN11</f>
        <v>3.6</v>
      </c>
      <c r="AE11" s="203">
        <f>INPUT!AP11</f>
        <v>1151</v>
      </c>
      <c r="AF11" s="37" t="str">
        <f>INPUT!AR11</f>
        <v>4.0</v>
      </c>
      <c r="AG11" s="37" t="str">
        <f>INPUT!AT11</f>
        <v>2.0</v>
      </c>
      <c r="AH11" s="37" t="str">
        <f>INPUT!AV11</f>
        <v>A</v>
      </c>
      <c r="AI11" s="38">
        <f>INPUT!AU11</f>
        <v>3.5</v>
      </c>
      <c r="AJ11" s="40">
        <f t="shared" si="0"/>
        <v>3.074074074074074</v>
      </c>
      <c r="AK11" s="211">
        <f>INPUT!AX11</f>
        <v>0</v>
      </c>
      <c r="AL11" s="37" t="str">
        <f>INPUT!AZ11</f>
        <v>ABS</v>
      </c>
      <c r="AM11" s="37" t="str">
        <f>INPUT!BB11</f>
        <v>ABS</v>
      </c>
      <c r="AN11" s="37" t="str">
        <f>INPUT!BD11</f>
        <v>ABS</v>
      </c>
      <c r="AO11" s="212" t="str">
        <f>INPUT!BC11</f>
        <v>ABS</v>
      </c>
      <c r="AP11" s="41" t="str">
        <f t="shared" si="1"/>
        <v/>
      </c>
      <c r="AQ11" s="41" t="str">
        <f t="shared" si="2"/>
        <v/>
      </c>
      <c r="AR11" s="41" t="str">
        <f t="shared" si="3"/>
        <v/>
      </c>
      <c r="AS11" s="30"/>
      <c r="AT11" s="30"/>
      <c r="AU11" s="30"/>
      <c r="AV11" s="30"/>
      <c r="AX11" s="114" t="str">
        <f>AJ11&amp;"_"&amp;COUNTIF($AJ$5:AJ11,AJ11)</f>
        <v>3.07407407407407_1</v>
      </c>
    </row>
    <row r="12" spans="1:50">
      <c r="A12" s="112"/>
      <c r="B12" s="44">
        <f>INPUT!F12</f>
        <v>11300008</v>
      </c>
      <c r="C12" s="45" t="str">
        <f>INPUT!C12</f>
        <v>pawan</v>
      </c>
      <c r="D12" s="109">
        <f>INPUT!D12</f>
        <v>58997</v>
      </c>
      <c r="E12" s="110">
        <f>INPUT!E12</f>
        <v>781130010008</v>
      </c>
      <c r="F12" s="39" t="str">
        <f>INPUT!G12</f>
        <v>0011</v>
      </c>
      <c r="G12" s="37" t="str">
        <f>INPUT!I12</f>
        <v>2.4</v>
      </c>
      <c r="H12" s="37" t="str">
        <f>INPUT!K12</f>
        <v>3.6</v>
      </c>
      <c r="I12" s="37" t="str">
        <f>INPUT!M12</f>
        <v>B</v>
      </c>
      <c r="J12" s="38">
        <f>INPUT!L12</f>
        <v>2.6999999999999997</v>
      </c>
      <c r="K12" s="205" t="str">
        <f>INPUT!N12</f>
        <v>0031</v>
      </c>
      <c r="L12" s="37" t="str">
        <f>INPUT!P12</f>
        <v>-</v>
      </c>
      <c r="M12" s="37" t="str">
        <f>INPUT!R12</f>
        <v>-</v>
      </c>
      <c r="N12" s="37" t="str">
        <f>INPUT!T12</f>
        <v>NG</v>
      </c>
      <c r="O12" s="46" t="str">
        <f>INPUT!S12</f>
        <v>NG</v>
      </c>
      <c r="P12" s="202" t="str">
        <f>INPUT!U12</f>
        <v>0051</v>
      </c>
      <c r="Q12" s="37" t="str">
        <f>INPUT!W12</f>
        <v>3.6</v>
      </c>
      <c r="R12" s="37" t="str">
        <f>INPUT!Y12</f>
        <v>3.6</v>
      </c>
      <c r="S12" s="37" t="str">
        <f>INPUT!AA12</f>
        <v>A</v>
      </c>
      <c r="T12" s="38">
        <f>INPUT!Z12</f>
        <v>3.6</v>
      </c>
      <c r="U12" s="208">
        <f>INPUT!AB12</f>
        <v>1151</v>
      </c>
      <c r="V12" s="37" t="str">
        <f>INPUT!AD12</f>
        <v>2.4</v>
      </c>
      <c r="W12" s="37" t="str">
        <f>INPUT!AF12</f>
        <v>4.0</v>
      </c>
      <c r="X12" s="37" t="str">
        <f>INPUT!AH12</f>
        <v>B</v>
      </c>
      <c r="Y12" s="46">
        <f>INPUT!AG12</f>
        <v>2.8</v>
      </c>
      <c r="Z12" s="208">
        <f>INPUT!AI12</f>
        <v>2031</v>
      </c>
      <c r="AA12" s="37" t="str">
        <f>INPUT!AK12</f>
        <v>2.0</v>
      </c>
      <c r="AB12" s="37" t="str">
        <f>INPUT!AM12</f>
        <v>4.0</v>
      </c>
      <c r="AC12" s="37" t="str">
        <f>INPUT!AO12</f>
        <v>B</v>
      </c>
      <c r="AD12" s="46">
        <f>INPUT!AN12</f>
        <v>2.5</v>
      </c>
      <c r="AE12" s="203">
        <f>INPUT!AP12</f>
        <v>3311</v>
      </c>
      <c r="AF12" s="37" t="str">
        <f>INPUT!AR12</f>
        <v>2.4</v>
      </c>
      <c r="AG12" s="37" t="str">
        <f>INPUT!AT12</f>
        <v>1.6</v>
      </c>
      <c r="AH12" s="37" t="str">
        <f>INPUT!AV12</f>
        <v>C+</v>
      </c>
      <c r="AI12" s="38">
        <f>INPUT!AU12</f>
        <v>2.2000000000000002</v>
      </c>
      <c r="AJ12" s="40" t="str">
        <f t="shared" si="0"/>
        <v>-</v>
      </c>
      <c r="AK12" s="211">
        <f>INPUT!AX12</f>
        <v>0</v>
      </c>
      <c r="AL12" s="37" t="str">
        <f>INPUT!AZ12</f>
        <v>ABS</v>
      </c>
      <c r="AM12" s="37" t="str">
        <f>INPUT!BB12</f>
        <v>ABS</v>
      </c>
      <c r="AN12" s="37" t="str">
        <f>INPUT!BD12</f>
        <v>ABS</v>
      </c>
      <c r="AO12" s="212" t="str">
        <f>INPUT!BC12</f>
        <v>ABS</v>
      </c>
      <c r="AP12" s="41" t="str">
        <f t="shared" si="1"/>
        <v>NG</v>
      </c>
      <c r="AQ12" s="41" t="str">
        <f t="shared" si="2"/>
        <v/>
      </c>
      <c r="AR12" s="41" t="str">
        <f t="shared" si="3"/>
        <v>W</v>
      </c>
      <c r="AS12" s="30"/>
      <c r="AT12" s="30"/>
      <c r="AU12" s="30"/>
      <c r="AV12" s="30"/>
      <c r="AW12" s="114" t="str">
        <f>AV5&amp;"_"&amp;COUNTIF($AV$5:AV5,AV5)</f>
        <v>2.54444444444444_1</v>
      </c>
      <c r="AX12" s="114" t="str">
        <f>AJ12&amp;"_"&amp;COUNTIF($AJ$5:AJ12,AJ12)</f>
        <v>-_3</v>
      </c>
    </row>
    <row r="13" spans="1:50">
      <c r="A13" s="112"/>
      <c r="B13" s="44">
        <f>INPUT!F13</f>
        <v>11300009</v>
      </c>
      <c r="C13" s="45" t="str">
        <f>INPUT!C13</f>
        <v>madhu</v>
      </c>
      <c r="D13" s="109">
        <f>INPUT!D13</f>
        <v>55113</v>
      </c>
      <c r="E13" s="110">
        <f>INPUT!E13</f>
        <v>781130010009</v>
      </c>
      <c r="F13" s="39" t="str">
        <f>INPUT!G13</f>
        <v>0011</v>
      </c>
      <c r="G13" s="37" t="str">
        <f>INPUT!I13</f>
        <v>3.2</v>
      </c>
      <c r="H13" s="37" t="str">
        <f>INPUT!K13</f>
        <v>4.0</v>
      </c>
      <c r="I13" s="37" t="str">
        <f>INPUT!M13</f>
        <v>A</v>
      </c>
      <c r="J13" s="38">
        <f>INPUT!L13</f>
        <v>3.4</v>
      </c>
      <c r="K13" s="205" t="str">
        <f>INPUT!N13</f>
        <v>0031</v>
      </c>
      <c r="L13" s="37" t="str">
        <f>INPUT!P13</f>
        <v>ABS</v>
      </c>
      <c r="M13" s="37" t="str">
        <f>INPUT!R13</f>
        <v>ABS</v>
      </c>
      <c r="N13" s="37" t="str">
        <f>INPUT!T13</f>
        <v>ABS</v>
      </c>
      <c r="O13" s="46" t="str">
        <f>INPUT!S13</f>
        <v>ABS</v>
      </c>
      <c r="P13" s="202" t="str">
        <f>INPUT!U13</f>
        <v>0051</v>
      </c>
      <c r="Q13" s="37" t="str">
        <f>INPUT!W13</f>
        <v>-</v>
      </c>
      <c r="R13" s="37" t="str">
        <f>INPUT!Y13</f>
        <v>3.6</v>
      </c>
      <c r="S13" s="37" t="str">
        <f>INPUT!AA13</f>
        <v>NG</v>
      </c>
      <c r="T13" s="38" t="str">
        <f>INPUT!Z13</f>
        <v>NG</v>
      </c>
      <c r="U13" s="208">
        <f>INPUT!AB13</f>
        <v>1051</v>
      </c>
      <c r="V13" s="37" t="str">
        <f>INPUT!AD13</f>
        <v>2.8</v>
      </c>
      <c r="W13" s="37" t="str">
        <f>INPUT!AF13</f>
        <v>4.0</v>
      </c>
      <c r="X13" s="37" t="str">
        <f>INPUT!AH13</f>
        <v>B+</v>
      </c>
      <c r="Y13" s="46">
        <f>INPUT!AG13</f>
        <v>3.1</v>
      </c>
      <c r="Z13" s="208">
        <f>INPUT!AI13</f>
        <v>2231</v>
      </c>
      <c r="AA13" s="37" t="str">
        <f>INPUT!AK13</f>
        <v>3.2</v>
      </c>
      <c r="AB13" s="37" t="str">
        <f>INPUT!AM13</f>
        <v>3.6</v>
      </c>
      <c r="AC13" s="37" t="str">
        <f>INPUT!AO13</f>
        <v>A</v>
      </c>
      <c r="AD13" s="46">
        <f>INPUT!AN13</f>
        <v>3.3</v>
      </c>
      <c r="AE13" s="203">
        <f>INPUT!AP13</f>
        <v>3091</v>
      </c>
      <c r="AF13" s="37" t="str">
        <f>INPUT!AR13</f>
        <v>3.6</v>
      </c>
      <c r="AG13" s="37" t="str">
        <f>INPUT!AT13</f>
        <v>2.0</v>
      </c>
      <c r="AH13" s="37" t="str">
        <f>INPUT!AV13</f>
        <v>B+</v>
      </c>
      <c r="AI13" s="38">
        <f>INPUT!AU13</f>
        <v>3.2</v>
      </c>
      <c r="AJ13" s="40" t="str">
        <f t="shared" si="0"/>
        <v>-</v>
      </c>
      <c r="AK13" s="211">
        <f>INPUT!AX13</f>
        <v>0</v>
      </c>
      <c r="AL13" s="37" t="str">
        <f>INPUT!AZ13</f>
        <v>ABS</v>
      </c>
      <c r="AM13" s="37" t="str">
        <f>INPUT!BB13</f>
        <v>ABS</v>
      </c>
      <c r="AN13" s="37" t="str">
        <f>INPUT!BD13</f>
        <v>ABS</v>
      </c>
      <c r="AO13" s="212" t="str">
        <f>INPUT!BC13</f>
        <v>ABS</v>
      </c>
      <c r="AP13" s="41" t="str">
        <f t="shared" si="1"/>
        <v>NG</v>
      </c>
      <c r="AQ13" s="41" t="str">
        <f t="shared" si="2"/>
        <v>ABS</v>
      </c>
      <c r="AR13" s="41" t="str">
        <f t="shared" si="3"/>
        <v>W</v>
      </c>
      <c r="AS13" s="30"/>
      <c r="AT13" s="30"/>
      <c r="AU13" s="30"/>
      <c r="AV13" s="30"/>
      <c r="AW13" s="114" t="str">
        <f>AV6&amp;"_"&amp;COUNTIF($AV$5:AV6,AV6)</f>
        <v>3.01111111111111_1</v>
      </c>
      <c r="AX13" s="114" t="str">
        <f>AJ13&amp;"_"&amp;COUNTIF($AJ$5:AJ13,AJ13)</f>
        <v>-_4</v>
      </c>
    </row>
    <row r="14" spans="1:50">
      <c r="A14" s="112"/>
      <c r="B14" s="44">
        <f>INPUT!F14</f>
        <v>11300010</v>
      </c>
      <c r="C14" s="45" t="str">
        <f>INPUT!C14</f>
        <v>siddhartha</v>
      </c>
      <c r="D14" s="109">
        <f>INPUT!D14</f>
        <v>57245</v>
      </c>
      <c r="E14" s="110">
        <f>INPUT!E14</f>
        <v>781130010010</v>
      </c>
      <c r="F14" s="39" t="str">
        <f>INPUT!G14</f>
        <v>0011</v>
      </c>
      <c r="G14" s="37" t="str">
        <f>INPUT!I14</f>
        <v>2.4</v>
      </c>
      <c r="H14" s="37" t="str">
        <f>INPUT!K14</f>
        <v>3.6</v>
      </c>
      <c r="I14" s="37" t="str">
        <f>INPUT!M14</f>
        <v>B</v>
      </c>
      <c r="J14" s="38">
        <f>INPUT!L14</f>
        <v>2.6999999999999997</v>
      </c>
      <c r="K14" s="205" t="str">
        <f>INPUT!N14</f>
        <v>0031</v>
      </c>
      <c r="L14" s="37" t="str">
        <f>INPUT!P14</f>
        <v>2.0</v>
      </c>
      <c r="M14" s="37" t="str">
        <f>INPUT!R14</f>
        <v>3.6</v>
      </c>
      <c r="N14" s="37" t="str">
        <f>INPUT!T14</f>
        <v>C+</v>
      </c>
      <c r="O14" s="46">
        <f>INPUT!S14</f>
        <v>2.4</v>
      </c>
      <c r="P14" s="202" t="str">
        <f>INPUT!U14</f>
        <v>0051</v>
      </c>
      <c r="Q14" s="37" t="str">
        <f>INPUT!W14</f>
        <v>2.0</v>
      </c>
      <c r="R14" s="37" t="str">
        <f>INPUT!Y14</f>
        <v>3.2</v>
      </c>
      <c r="S14" s="37" t="str">
        <f>INPUT!AA14</f>
        <v>C+</v>
      </c>
      <c r="T14" s="38">
        <f>INPUT!Z14</f>
        <v>2.2999999999999998</v>
      </c>
      <c r="U14" s="208">
        <f>INPUT!AB14</f>
        <v>1031</v>
      </c>
      <c r="V14" s="37" t="str">
        <f>INPUT!AD14</f>
        <v>2.0</v>
      </c>
      <c r="W14" s="37" t="str">
        <f>INPUT!AF14</f>
        <v>4.0</v>
      </c>
      <c r="X14" s="37" t="str">
        <f>INPUT!AH14</f>
        <v>B</v>
      </c>
      <c r="Y14" s="46">
        <f>INPUT!AG14</f>
        <v>2.5</v>
      </c>
      <c r="Z14" s="208">
        <f>INPUT!AI14</f>
        <v>2151</v>
      </c>
      <c r="AA14" s="37" t="str">
        <f>INPUT!AK14</f>
        <v>2.0</v>
      </c>
      <c r="AB14" s="37" t="str">
        <f>INPUT!AM14</f>
        <v>4.0</v>
      </c>
      <c r="AC14" s="37" t="str">
        <f>INPUT!AO14</f>
        <v>B</v>
      </c>
      <c r="AD14" s="46">
        <f>INPUT!AN14</f>
        <v>2.5</v>
      </c>
      <c r="AE14" s="203">
        <f>INPUT!AP14</f>
        <v>3031</v>
      </c>
      <c r="AF14" s="37" t="str">
        <f>INPUT!AR14</f>
        <v>3.2</v>
      </c>
      <c r="AG14" s="37" t="str">
        <f>INPUT!AT14</f>
        <v>2.0</v>
      </c>
      <c r="AH14" s="37" t="str">
        <f>INPUT!AV14</f>
        <v>B+</v>
      </c>
      <c r="AI14" s="38">
        <f>INPUT!AU14</f>
        <v>2.9</v>
      </c>
      <c r="AJ14" s="40">
        <f t="shared" si="0"/>
        <v>2.5444444444444447</v>
      </c>
      <c r="AK14" s="211">
        <f>INPUT!AX14</f>
        <v>0</v>
      </c>
      <c r="AL14" s="37" t="str">
        <f>INPUT!AZ14</f>
        <v>ABS</v>
      </c>
      <c r="AM14" s="37" t="str">
        <f>INPUT!BB14</f>
        <v>ABS</v>
      </c>
      <c r="AN14" s="37" t="str">
        <f>INPUT!BD14</f>
        <v>ABS</v>
      </c>
      <c r="AO14" s="212" t="str">
        <f>INPUT!BC14</f>
        <v>ABS</v>
      </c>
      <c r="AP14" s="41" t="str">
        <f t="shared" si="1"/>
        <v/>
      </c>
      <c r="AQ14" s="41" t="str">
        <f t="shared" si="2"/>
        <v/>
      </c>
      <c r="AR14" s="41" t="str">
        <f t="shared" si="3"/>
        <v/>
      </c>
      <c r="AS14" s="30"/>
      <c r="AT14" s="30"/>
      <c r="AU14" s="30"/>
      <c r="AV14" s="30"/>
      <c r="AW14" s="114" t="str">
        <f>AV7&amp;"_"&amp;COUNTIF($AV$5:AV7,AV7)</f>
        <v>3.07407407407407_1</v>
      </c>
      <c r="AX14" s="114" t="str">
        <f>AJ14&amp;"_"&amp;COUNTIF($AJ$5:AJ14,AJ14)</f>
        <v>2.54444444444444_1</v>
      </c>
    </row>
    <row r="15" spans="1:50">
      <c r="A15" s="112"/>
      <c r="B15" s="44">
        <f>INPUT!F15</f>
        <v>11300011</v>
      </c>
      <c r="C15" s="45" t="str">
        <f>INPUT!C15</f>
        <v>lalit</v>
      </c>
      <c r="D15" s="109">
        <f>INPUT!D15</f>
        <v>56181</v>
      </c>
      <c r="E15" s="110">
        <f>INPUT!E15</f>
        <v>781130010011</v>
      </c>
      <c r="F15" s="39" t="str">
        <f>INPUT!G15</f>
        <v>0011</v>
      </c>
      <c r="G15" s="37" t="str">
        <f>INPUT!I15</f>
        <v>4.0</v>
      </c>
      <c r="H15" s="37" t="str">
        <f>INPUT!K15</f>
        <v>3.6</v>
      </c>
      <c r="I15" s="37" t="str">
        <f>INPUT!M15</f>
        <v>A+</v>
      </c>
      <c r="J15" s="38">
        <f>INPUT!L15</f>
        <v>3.9</v>
      </c>
      <c r="K15" s="205" t="str">
        <f>INPUT!N15</f>
        <v>0031</v>
      </c>
      <c r="L15" s="37" t="str">
        <f>INPUT!P15</f>
        <v>4.0</v>
      </c>
      <c r="M15" s="37" t="str">
        <f>INPUT!R15</f>
        <v>4.0</v>
      </c>
      <c r="N15" s="37" t="str">
        <f>INPUT!T15</f>
        <v>A+</v>
      </c>
      <c r="O15" s="46">
        <f>INPUT!S15</f>
        <v>4</v>
      </c>
      <c r="P15" s="202" t="str">
        <f>INPUT!U15</f>
        <v>0051</v>
      </c>
      <c r="Q15" s="37" t="str">
        <f>INPUT!W15</f>
        <v>4.0</v>
      </c>
      <c r="R15" s="37" t="str">
        <f>INPUT!Y15</f>
        <v>4.0</v>
      </c>
      <c r="S15" s="37" t="str">
        <f>INPUT!AA15</f>
        <v>A+</v>
      </c>
      <c r="T15" s="38">
        <f>INPUT!Z15</f>
        <v>4</v>
      </c>
      <c r="U15" s="208">
        <f>INPUT!AB15</f>
        <v>1051</v>
      </c>
      <c r="V15" s="37" t="str">
        <f>INPUT!AD15</f>
        <v>4.0</v>
      </c>
      <c r="W15" s="37" t="str">
        <f>INPUT!AF15</f>
        <v>4.0</v>
      </c>
      <c r="X15" s="37" t="str">
        <f>INPUT!AH15</f>
        <v>A+</v>
      </c>
      <c r="Y15" s="46">
        <f>INPUT!AG15</f>
        <v>4</v>
      </c>
      <c r="Z15" s="208">
        <f>INPUT!AI15</f>
        <v>2231</v>
      </c>
      <c r="AA15" s="37" t="str">
        <f>INPUT!AK15</f>
        <v>4.0</v>
      </c>
      <c r="AB15" s="37" t="str">
        <f>INPUT!AM15</f>
        <v>3.6</v>
      </c>
      <c r="AC15" s="37" t="str">
        <f>INPUT!AO15</f>
        <v>A+</v>
      </c>
      <c r="AD15" s="46">
        <f>INPUT!AN15</f>
        <v>3.9</v>
      </c>
      <c r="AE15" s="203">
        <f>INPUT!AP15</f>
        <v>3091</v>
      </c>
      <c r="AF15" s="37" t="str">
        <f>INPUT!AR15</f>
        <v>-</v>
      </c>
      <c r="AG15" s="37" t="str">
        <f>INPUT!AT15</f>
        <v>2.0</v>
      </c>
      <c r="AH15" s="37" t="str">
        <f>INPUT!AV15</f>
        <v>NG</v>
      </c>
      <c r="AI15" s="38" t="str">
        <f>INPUT!AU15</f>
        <v>NG</v>
      </c>
      <c r="AJ15" s="40" t="str">
        <f t="shared" si="0"/>
        <v>-</v>
      </c>
      <c r="AK15" s="211">
        <f>INPUT!AX15</f>
        <v>0</v>
      </c>
      <c r="AL15" s="37" t="str">
        <f>INPUT!AZ15</f>
        <v>ABS</v>
      </c>
      <c r="AM15" s="37" t="str">
        <f>INPUT!BB15</f>
        <v>ABS</v>
      </c>
      <c r="AN15" s="37" t="str">
        <f>INPUT!BD15</f>
        <v>ABS</v>
      </c>
      <c r="AO15" s="212" t="str">
        <f>INPUT!BC15</f>
        <v>ABS</v>
      </c>
      <c r="AP15" s="41" t="str">
        <f t="shared" si="1"/>
        <v>NG</v>
      </c>
      <c r="AQ15" s="41" t="str">
        <f t="shared" si="2"/>
        <v/>
      </c>
      <c r="AR15" s="41" t="str">
        <f t="shared" si="3"/>
        <v>W</v>
      </c>
      <c r="AS15" s="30"/>
      <c r="AT15" s="30"/>
      <c r="AU15" s="30"/>
      <c r="AV15" s="30"/>
      <c r="AW15" s="114" t="str">
        <f>AV8&amp;"_"&amp;COUNTIF($AV$5:AV8,AV8)</f>
        <v>3.15925925925926_1</v>
      </c>
      <c r="AX15" s="114" t="str">
        <f>AJ15&amp;"_"&amp;COUNTIF($AJ$5:AJ15,AJ15)</f>
        <v>-_5</v>
      </c>
    </row>
    <row r="16" spans="1:50">
      <c r="A16" s="112"/>
      <c r="B16" s="44">
        <f>INPUT!F16</f>
        <v>11300014</v>
      </c>
      <c r="C16" s="45" t="str">
        <f>INPUT!C16</f>
        <v>bhumika</v>
      </c>
      <c r="D16" s="109">
        <f>INPUT!D16</f>
        <v>59902</v>
      </c>
      <c r="E16" s="110">
        <f>INPUT!E16</f>
        <v>781130010012</v>
      </c>
      <c r="F16" s="39" t="str">
        <f>INPUT!G16</f>
        <v>0011</v>
      </c>
      <c r="G16" s="37" t="str">
        <f>INPUT!I16</f>
        <v>4.0</v>
      </c>
      <c r="H16" s="37" t="str">
        <f>INPUT!K16</f>
        <v>4.0</v>
      </c>
      <c r="I16" s="37" t="str">
        <f>INPUT!M16</f>
        <v>A+</v>
      </c>
      <c r="J16" s="38">
        <f>INPUT!L16</f>
        <v>4</v>
      </c>
      <c r="K16" s="205" t="str">
        <f>INPUT!N16</f>
        <v>0031</v>
      </c>
      <c r="L16" s="37" t="str">
        <f>INPUT!P16</f>
        <v>4.0</v>
      </c>
      <c r="M16" s="37" t="str">
        <f>INPUT!R16</f>
        <v>4.0</v>
      </c>
      <c r="N16" s="37" t="str">
        <f>INPUT!T16</f>
        <v>A+</v>
      </c>
      <c r="O16" s="46">
        <f>INPUT!S16</f>
        <v>4</v>
      </c>
      <c r="P16" s="202" t="str">
        <f>INPUT!U16</f>
        <v>0051</v>
      </c>
      <c r="Q16" s="37" t="str">
        <f>INPUT!W16</f>
        <v>4.0</v>
      </c>
      <c r="R16" s="37" t="str">
        <f>INPUT!Y16</f>
        <v>4.0</v>
      </c>
      <c r="S16" s="37" t="str">
        <f>INPUT!AA16</f>
        <v>A+</v>
      </c>
      <c r="T16" s="38">
        <f>INPUT!Z16</f>
        <v>4</v>
      </c>
      <c r="U16" s="208">
        <f>INPUT!AB16</f>
        <v>1051</v>
      </c>
      <c r="V16" s="37" t="str">
        <f>INPUT!AD16</f>
        <v>4.0</v>
      </c>
      <c r="W16" s="37" t="str">
        <f>INPUT!AF16</f>
        <v>4.0</v>
      </c>
      <c r="X16" s="37" t="str">
        <f>INPUT!AH16</f>
        <v>A+</v>
      </c>
      <c r="Y16" s="46">
        <f>INPUT!AG16</f>
        <v>4</v>
      </c>
      <c r="Z16" s="208">
        <f>INPUT!AI16</f>
        <v>2231</v>
      </c>
      <c r="AA16" s="37" t="str">
        <f>INPUT!AK16</f>
        <v>4.0</v>
      </c>
      <c r="AB16" s="37" t="str">
        <f>INPUT!AM16</f>
        <v>4.0</v>
      </c>
      <c r="AC16" s="37" t="str">
        <f>INPUT!AO16</f>
        <v>A+</v>
      </c>
      <c r="AD16" s="46">
        <f>INPUT!AN16</f>
        <v>4</v>
      </c>
      <c r="AE16" s="203">
        <f>INPUT!AP16</f>
        <v>3091</v>
      </c>
      <c r="AF16" s="37" t="str">
        <f>INPUT!AR16</f>
        <v>-</v>
      </c>
      <c r="AG16" s="37" t="str">
        <f>INPUT!AT16</f>
        <v>2.4</v>
      </c>
      <c r="AH16" s="37" t="str">
        <f>INPUT!AV16</f>
        <v>NG</v>
      </c>
      <c r="AI16" s="38" t="str">
        <f>INPUT!AU16</f>
        <v>NG</v>
      </c>
      <c r="AJ16" s="40" t="str">
        <f t="shared" si="0"/>
        <v>-</v>
      </c>
      <c r="AK16" s="211">
        <f>INPUT!AX16</f>
        <v>0</v>
      </c>
      <c r="AL16" s="37" t="str">
        <f>INPUT!AZ16</f>
        <v>ABS</v>
      </c>
      <c r="AM16" s="37" t="str">
        <f>INPUT!BB16</f>
        <v>ABS</v>
      </c>
      <c r="AN16" s="37" t="str">
        <f>INPUT!BD16</f>
        <v>ABS</v>
      </c>
      <c r="AO16" s="212" t="str">
        <f>INPUT!BC16</f>
        <v>ABS</v>
      </c>
      <c r="AP16" s="41" t="str">
        <f t="shared" si="1"/>
        <v>NG</v>
      </c>
      <c r="AQ16" s="41" t="str">
        <f t="shared" si="2"/>
        <v/>
      </c>
      <c r="AR16" s="41" t="str">
        <f t="shared" si="3"/>
        <v>W</v>
      </c>
      <c r="AS16" s="30"/>
      <c r="AT16" s="30"/>
      <c r="AU16" s="30"/>
      <c r="AV16" s="30"/>
      <c r="AW16" s="114" t="str">
        <f>AV9&amp;"_"&amp;COUNTIF($AV$5:AV9,AV9)</f>
        <v>3.2037037037037_1</v>
      </c>
      <c r="AX16" s="114" t="str">
        <f>AJ16&amp;"_"&amp;COUNTIF($AJ$5:AJ16,AJ16)</f>
        <v>-_6</v>
      </c>
    </row>
    <row r="17" spans="1:50">
      <c r="A17" s="112"/>
      <c r="B17" s="44">
        <f>INPUT!F17</f>
        <v>0</v>
      </c>
      <c r="C17" s="45">
        <f>INPUT!C17</f>
        <v>0</v>
      </c>
      <c r="D17" s="109">
        <f>INPUT!D17</f>
        <v>0</v>
      </c>
      <c r="E17" s="110">
        <f>INPUT!E17</f>
        <v>0</v>
      </c>
      <c r="F17" s="39" t="str">
        <f>INPUT!G17</f>
        <v>0011</v>
      </c>
      <c r="G17" s="37" t="str">
        <f>INPUT!I17</f>
        <v>ABS</v>
      </c>
      <c r="H17" s="37" t="str">
        <f>INPUT!K17</f>
        <v>ABS</v>
      </c>
      <c r="I17" s="37" t="str">
        <f>INPUT!M17</f>
        <v>ABS</v>
      </c>
      <c r="J17" s="38" t="str">
        <f>INPUT!L17</f>
        <v>ABS</v>
      </c>
      <c r="K17" s="205" t="str">
        <f>INPUT!N17</f>
        <v>0031</v>
      </c>
      <c r="L17" s="37" t="str">
        <f>INPUT!P17</f>
        <v>ABS</v>
      </c>
      <c r="M17" s="37" t="str">
        <f>INPUT!R17</f>
        <v>ABS</v>
      </c>
      <c r="N17" s="37" t="str">
        <f>INPUT!T17</f>
        <v>ABS</v>
      </c>
      <c r="O17" s="46" t="str">
        <f>INPUT!S17</f>
        <v>ABS</v>
      </c>
      <c r="P17" s="202" t="str">
        <f>INPUT!U17</f>
        <v>0051</v>
      </c>
      <c r="Q17" s="37" t="str">
        <f>INPUT!W17</f>
        <v>ABS</v>
      </c>
      <c r="R17" s="37" t="str">
        <f>INPUT!Y17</f>
        <v>ABS</v>
      </c>
      <c r="S17" s="37" t="str">
        <f>INPUT!AA17</f>
        <v>ABS</v>
      </c>
      <c r="T17" s="38" t="str">
        <f>INPUT!Z17</f>
        <v>ABS</v>
      </c>
      <c r="U17" s="208">
        <f>INPUT!AB17</f>
        <v>0</v>
      </c>
      <c r="V17" s="37" t="str">
        <f>INPUT!AD17</f>
        <v>ABS</v>
      </c>
      <c r="W17" s="37" t="str">
        <f>INPUT!AF17</f>
        <v>ABS</v>
      </c>
      <c r="X17" s="37" t="str">
        <f>INPUT!AH17</f>
        <v>ABS</v>
      </c>
      <c r="Y17" s="46" t="str">
        <f>INPUT!AG17</f>
        <v>ABS</v>
      </c>
      <c r="Z17" s="208">
        <f>INPUT!AI17</f>
        <v>0</v>
      </c>
      <c r="AA17" s="37" t="str">
        <f>INPUT!AK17</f>
        <v>ABS</v>
      </c>
      <c r="AB17" s="37" t="str">
        <f>INPUT!AM17</f>
        <v>ABS</v>
      </c>
      <c r="AC17" s="37" t="str">
        <f>INPUT!AO17</f>
        <v>ABS</v>
      </c>
      <c r="AD17" s="46" t="str">
        <f>INPUT!AN17</f>
        <v>ABS</v>
      </c>
      <c r="AE17" s="203">
        <f>INPUT!AP17</f>
        <v>0</v>
      </c>
      <c r="AF17" s="37" t="str">
        <f>INPUT!AR17</f>
        <v>ABS</v>
      </c>
      <c r="AG17" s="37" t="str">
        <f>INPUT!AT17</f>
        <v>ABS</v>
      </c>
      <c r="AH17" s="37" t="str">
        <f>INPUT!AV17</f>
        <v>ABS</v>
      </c>
      <c r="AI17" s="38" t="str">
        <f>INPUT!AU17</f>
        <v>ABS</v>
      </c>
      <c r="AJ17" s="40" t="str">
        <f t="shared" si="0"/>
        <v>-</v>
      </c>
      <c r="AK17" s="211">
        <f>INPUT!AX17</f>
        <v>0</v>
      </c>
      <c r="AL17" s="37" t="str">
        <f>INPUT!AZ17</f>
        <v>ABS</v>
      </c>
      <c r="AM17" s="37" t="str">
        <f>INPUT!BB17</f>
        <v>ABS</v>
      </c>
      <c r="AN17" s="37" t="str">
        <f>INPUT!BD17</f>
        <v>ABS</v>
      </c>
      <c r="AO17" s="212" t="str">
        <f>INPUT!BC17</f>
        <v>ABS</v>
      </c>
      <c r="AP17" s="41" t="str">
        <f t="shared" si="1"/>
        <v/>
      </c>
      <c r="AQ17" s="41" t="str">
        <f t="shared" si="2"/>
        <v>ABS</v>
      </c>
      <c r="AR17" s="41" t="str">
        <f t="shared" si="3"/>
        <v/>
      </c>
      <c r="AS17" s="30"/>
      <c r="AT17" s="30"/>
      <c r="AU17" s="30"/>
      <c r="AV17" s="30"/>
      <c r="AX17" s="114" t="str">
        <f>AJ17&amp;"_"&amp;COUNTIF($AJ$5:AJ17,AJ17)</f>
        <v>-_7</v>
      </c>
    </row>
    <row r="18" spans="1:50">
      <c r="A18" s="112"/>
      <c r="B18" s="44">
        <f>INPUT!F18</f>
        <v>0</v>
      </c>
      <c r="C18" s="45">
        <f>INPUT!C18</f>
        <v>0</v>
      </c>
      <c r="D18" s="109">
        <f>INPUT!D18</f>
        <v>0</v>
      </c>
      <c r="E18" s="110">
        <f>INPUT!E18</f>
        <v>0</v>
      </c>
      <c r="F18" s="39" t="str">
        <f>INPUT!G18</f>
        <v>0011</v>
      </c>
      <c r="G18" s="37" t="str">
        <f>INPUT!I18</f>
        <v>ABS</v>
      </c>
      <c r="H18" s="37" t="str">
        <f>INPUT!K18</f>
        <v>ABS</v>
      </c>
      <c r="I18" s="37" t="str">
        <f>INPUT!M18</f>
        <v>ABS</v>
      </c>
      <c r="J18" s="38" t="str">
        <f>INPUT!L18</f>
        <v>ABS</v>
      </c>
      <c r="K18" s="205" t="str">
        <f>INPUT!N18</f>
        <v>0031</v>
      </c>
      <c r="L18" s="37" t="str">
        <f>INPUT!P18</f>
        <v>ABS</v>
      </c>
      <c r="M18" s="37" t="str">
        <f>INPUT!R18</f>
        <v>ABS</v>
      </c>
      <c r="N18" s="37" t="str">
        <f>INPUT!T18</f>
        <v>ABS</v>
      </c>
      <c r="O18" s="46" t="str">
        <f>INPUT!S18</f>
        <v>ABS</v>
      </c>
      <c r="P18" s="202" t="str">
        <f>INPUT!U18</f>
        <v>0051</v>
      </c>
      <c r="Q18" s="37" t="str">
        <f>INPUT!W18</f>
        <v>ABS</v>
      </c>
      <c r="R18" s="37" t="str">
        <f>INPUT!Y18</f>
        <v>ABS</v>
      </c>
      <c r="S18" s="37" t="str">
        <f>INPUT!AA18</f>
        <v>ABS</v>
      </c>
      <c r="T18" s="38" t="str">
        <f>INPUT!Z18</f>
        <v>ABS</v>
      </c>
      <c r="U18" s="208">
        <f>INPUT!AB18</f>
        <v>0</v>
      </c>
      <c r="V18" s="37" t="str">
        <f>INPUT!AD18</f>
        <v>ABS</v>
      </c>
      <c r="W18" s="37" t="str">
        <f>INPUT!AF18</f>
        <v>ABS</v>
      </c>
      <c r="X18" s="37" t="str">
        <f>INPUT!AH18</f>
        <v>ABS</v>
      </c>
      <c r="Y18" s="46" t="str">
        <f>INPUT!AG18</f>
        <v>ABS</v>
      </c>
      <c r="Z18" s="208">
        <f>INPUT!AI18</f>
        <v>0</v>
      </c>
      <c r="AA18" s="37" t="str">
        <f>INPUT!AK18</f>
        <v>ABS</v>
      </c>
      <c r="AB18" s="37" t="str">
        <f>INPUT!AM18</f>
        <v>ABS</v>
      </c>
      <c r="AC18" s="37" t="str">
        <f>INPUT!AO18</f>
        <v>ABS</v>
      </c>
      <c r="AD18" s="46" t="str">
        <f>INPUT!AN18</f>
        <v>ABS</v>
      </c>
      <c r="AE18" s="203">
        <f>INPUT!AP18</f>
        <v>0</v>
      </c>
      <c r="AF18" s="37" t="str">
        <f>INPUT!AR18</f>
        <v>ABS</v>
      </c>
      <c r="AG18" s="37" t="str">
        <f>INPUT!AT18</f>
        <v>ABS</v>
      </c>
      <c r="AH18" s="37" t="str">
        <f>INPUT!AV18</f>
        <v>ABS</v>
      </c>
      <c r="AI18" s="38" t="str">
        <f>INPUT!AU18</f>
        <v>ABS</v>
      </c>
      <c r="AJ18" s="40" t="str">
        <f t="shared" si="0"/>
        <v>-</v>
      </c>
      <c r="AK18" s="211">
        <f>INPUT!AX18</f>
        <v>0</v>
      </c>
      <c r="AL18" s="37" t="str">
        <f>INPUT!AZ18</f>
        <v>ABS</v>
      </c>
      <c r="AM18" s="37" t="str">
        <f>INPUT!BB18</f>
        <v>ABS</v>
      </c>
      <c r="AN18" s="37" t="str">
        <f>INPUT!BD18</f>
        <v>ABS</v>
      </c>
      <c r="AO18" s="212" t="str">
        <f>INPUT!BC18</f>
        <v>ABS</v>
      </c>
      <c r="AP18" s="41" t="str">
        <f t="shared" si="1"/>
        <v/>
      </c>
      <c r="AQ18" s="41" t="str">
        <f t="shared" si="2"/>
        <v>ABS</v>
      </c>
      <c r="AR18" s="41" t="str">
        <f t="shared" si="3"/>
        <v/>
      </c>
      <c r="AS18" s="30"/>
      <c r="AT18" s="30"/>
      <c r="AU18" s="30"/>
      <c r="AV18" s="30"/>
      <c r="AX18" s="114" t="str">
        <f>AJ18&amp;"_"&amp;COUNTIF($AJ$5:AJ18,AJ18)</f>
        <v>-_8</v>
      </c>
    </row>
    <row r="19" spans="1:50">
      <c r="A19" s="112"/>
      <c r="B19" s="44">
        <f>INPUT!F19</f>
        <v>0</v>
      </c>
      <c r="C19" s="45">
        <f>INPUT!C19</f>
        <v>0</v>
      </c>
      <c r="D19" s="109">
        <f>INPUT!D19</f>
        <v>0</v>
      </c>
      <c r="E19" s="110">
        <f>INPUT!E19</f>
        <v>0</v>
      </c>
      <c r="F19" s="39" t="str">
        <f>INPUT!G19</f>
        <v>0011</v>
      </c>
      <c r="G19" s="37" t="str">
        <f>INPUT!I19</f>
        <v>ABS</v>
      </c>
      <c r="H19" s="37" t="str">
        <f>INPUT!K19</f>
        <v>ABS</v>
      </c>
      <c r="I19" s="37" t="str">
        <f>INPUT!M19</f>
        <v>ABS</v>
      </c>
      <c r="J19" s="38" t="str">
        <f>INPUT!L19</f>
        <v>ABS</v>
      </c>
      <c r="K19" s="205" t="str">
        <f>INPUT!N19</f>
        <v>0031</v>
      </c>
      <c r="L19" s="37" t="str">
        <f>INPUT!P19</f>
        <v>ABS</v>
      </c>
      <c r="M19" s="37" t="str">
        <f>INPUT!R19</f>
        <v>ABS</v>
      </c>
      <c r="N19" s="37" t="str">
        <f>INPUT!T19</f>
        <v>ABS</v>
      </c>
      <c r="O19" s="46" t="str">
        <f>INPUT!S19</f>
        <v>ABS</v>
      </c>
      <c r="P19" s="202" t="str">
        <f>INPUT!U19</f>
        <v>0051</v>
      </c>
      <c r="Q19" s="37" t="str">
        <f>INPUT!W19</f>
        <v>ABS</v>
      </c>
      <c r="R19" s="37" t="str">
        <f>INPUT!Y19</f>
        <v>ABS</v>
      </c>
      <c r="S19" s="37" t="str">
        <f>INPUT!AA19</f>
        <v>ABS</v>
      </c>
      <c r="T19" s="38" t="str">
        <f>INPUT!Z19</f>
        <v>ABS</v>
      </c>
      <c r="U19" s="208">
        <f>INPUT!AB19</f>
        <v>0</v>
      </c>
      <c r="V19" s="37" t="str">
        <f>INPUT!AD19</f>
        <v>ABS</v>
      </c>
      <c r="W19" s="37" t="str">
        <f>INPUT!AF19</f>
        <v>ABS</v>
      </c>
      <c r="X19" s="37" t="str">
        <f>INPUT!AH19</f>
        <v>ABS</v>
      </c>
      <c r="Y19" s="46" t="str">
        <f>INPUT!AG19</f>
        <v>ABS</v>
      </c>
      <c r="Z19" s="208">
        <f>INPUT!AI19</f>
        <v>0</v>
      </c>
      <c r="AA19" s="37" t="str">
        <f>INPUT!AK19</f>
        <v>ABS</v>
      </c>
      <c r="AB19" s="37" t="str">
        <f>INPUT!AM19</f>
        <v>ABS</v>
      </c>
      <c r="AC19" s="37" t="str">
        <f>INPUT!AO19</f>
        <v>ABS</v>
      </c>
      <c r="AD19" s="46" t="str">
        <f>INPUT!AN19</f>
        <v>ABS</v>
      </c>
      <c r="AE19" s="203">
        <f>INPUT!AP19</f>
        <v>0</v>
      </c>
      <c r="AF19" s="37" t="str">
        <f>INPUT!AR19</f>
        <v>ABS</v>
      </c>
      <c r="AG19" s="37" t="str">
        <f>INPUT!AT19</f>
        <v>ABS</v>
      </c>
      <c r="AH19" s="37" t="str">
        <f>INPUT!AV19</f>
        <v>ABS</v>
      </c>
      <c r="AI19" s="38" t="str">
        <f>INPUT!AU19</f>
        <v>ABS</v>
      </c>
      <c r="AJ19" s="40" t="str">
        <f t="shared" si="0"/>
        <v>-</v>
      </c>
      <c r="AK19" s="211">
        <f>INPUT!AX19</f>
        <v>0</v>
      </c>
      <c r="AL19" s="37" t="str">
        <f>INPUT!AZ19</f>
        <v>ABS</v>
      </c>
      <c r="AM19" s="37" t="str">
        <f>INPUT!BB19</f>
        <v>ABS</v>
      </c>
      <c r="AN19" s="37" t="str">
        <f>INPUT!BD19</f>
        <v>ABS</v>
      </c>
      <c r="AO19" s="212" t="str">
        <f>INPUT!BC19</f>
        <v>ABS</v>
      </c>
      <c r="AP19" s="41" t="str">
        <f t="shared" si="1"/>
        <v/>
      </c>
      <c r="AQ19" s="41" t="str">
        <f t="shared" si="2"/>
        <v>ABS</v>
      </c>
      <c r="AR19" s="41" t="str">
        <f t="shared" si="3"/>
        <v/>
      </c>
      <c r="AS19" s="30"/>
      <c r="AT19" s="30"/>
      <c r="AU19" s="30"/>
      <c r="AV19" s="30"/>
      <c r="AX19" s="114" t="str">
        <f>AJ19&amp;"_"&amp;COUNTIF($AJ$5:AJ19,AJ19)</f>
        <v>-_9</v>
      </c>
    </row>
    <row r="20" spans="1:50">
      <c r="A20" s="112"/>
      <c r="B20" s="44">
        <f>INPUT!F20</f>
        <v>0</v>
      </c>
      <c r="C20" s="45">
        <f>INPUT!C20</f>
        <v>0</v>
      </c>
      <c r="D20" s="109">
        <f>INPUT!D20</f>
        <v>0</v>
      </c>
      <c r="E20" s="110">
        <f>INPUT!E20</f>
        <v>0</v>
      </c>
      <c r="F20" s="39" t="str">
        <f>INPUT!G20</f>
        <v>0011</v>
      </c>
      <c r="G20" s="37" t="str">
        <f>INPUT!I20</f>
        <v>ABS</v>
      </c>
      <c r="H20" s="37" t="str">
        <f>INPUT!K20</f>
        <v>ABS</v>
      </c>
      <c r="I20" s="37" t="str">
        <f>INPUT!M20</f>
        <v>ABS</v>
      </c>
      <c r="J20" s="38" t="str">
        <f>INPUT!L20</f>
        <v>ABS</v>
      </c>
      <c r="K20" s="205" t="str">
        <f>INPUT!N20</f>
        <v>0031</v>
      </c>
      <c r="L20" s="37" t="str">
        <f>INPUT!P20</f>
        <v>ABS</v>
      </c>
      <c r="M20" s="37" t="str">
        <f>INPUT!R20</f>
        <v>ABS</v>
      </c>
      <c r="N20" s="37" t="str">
        <f>INPUT!T20</f>
        <v>ABS</v>
      </c>
      <c r="O20" s="46" t="str">
        <f>INPUT!S20</f>
        <v>ABS</v>
      </c>
      <c r="P20" s="202" t="str">
        <f>INPUT!U20</f>
        <v>0051</v>
      </c>
      <c r="Q20" s="37" t="str">
        <f>INPUT!W20</f>
        <v>ABS</v>
      </c>
      <c r="R20" s="37" t="str">
        <f>INPUT!Y20</f>
        <v>ABS</v>
      </c>
      <c r="S20" s="37" t="str">
        <f>INPUT!AA20</f>
        <v>ABS</v>
      </c>
      <c r="T20" s="38" t="str">
        <f>INPUT!Z20</f>
        <v>ABS</v>
      </c>
      <c r="U20" s="208">
        <f>INPUT!AB20</f>
        <v>0</v>
      </c>
      <c r="V20" s="37" t="str">
        <f>INPUT!AD20</f>
        <v>ABS</v>
      </c>
      <c r="W20" s="37" t="str">
        <f>INPUT!AF20</f>
        <v>ABS</v>
      </c>
      <c r="X20" s="37" t="str">
        <f>INPUT!AH20</f>
        <v>ABS</v>
      </c>
      <c r="Y20" s="46" t="str">
        <f>INPUT!AG20</f>
        <v>ABS</v>
      </c>
      <c r="Z20" s="208">
        <f>INPUT!AI20</f>
        <v>0</v>
      </c>
      <c r="AA20" s="37" t="str">
        <f>INPUT!AK20</f>
        <v>ABS</v>
      </c>
      <c r="AB20" s="37" t="str">
        <f>INPUT!AM20</f>
        <v>ABS</v>
      </c>
      <c r="AC20" s="37" t="str">
        <f>INPUT!AO20</f>
        <v>ABS</v>
      </c>
      <c r="AD20" s="46" t="str">
        <f>INPUT!AN20</f>
        <v>ABS</v>
      </c>
      <c r="AE20" s="203">
        <f>INPUT!AP20</f>
        <v>0</v>
      </c>
      <c r="AF20" s="37" t="str">
        <f>INPUT!AR20</f>
        <v>ABS</v>
      </c>
      <c r="AG20" s="37" t="str">
        <f>INPUT!AT20</f>
        <v>ABS</v>
      </c>
      <c r="AH20" s="37" t="str">
        <f>INPUT!AV20</f>
        <v>ABS</v>
      </c>
      <c r="AI20" s="38" t="str">
        <f>INPUT!AU20</f>
        <v>ABS</v>
      </c>
      <c r="AJ20" s="40" t="str">
        <f t="shared" si="0"/>
        <v>-</v>
      </c>
      <c r="AK20" s="211">
        <f>INPUT!AX20</f>
        <v>0</v>
      </c>
      <c r="AL20" s="37" t="str">
        <f>INPUT!AZ20</f>
        <v>ABS</v>
      </c>
      <c r="AM20" s="37" t="str">
        <f>INPUT!BB20</f>
        <v>ABS</v>
      </c>
      <c r="AN20" s="37" t="str">
        <f>INPUT!BD20</f>
        <v>ABS</v>
      </c>
      <c r="AO20" s="212" t="str">
        <f>INPUT!BC20</f>
        <v>ABS</v>
      </c>
      <c r="AP20" s="41" t="str">
        <f t="shared" si="1"/>
        <v/>
      </c>
      <c r="AQ20" s="41" t="str">
        <f t="shared" si="2"/>
        <v>ABS</v>
      </c>
      <c r="AR20" s="41" t="str">
        <f t="shared" si="3"/>
        <v/>
      </c>
      <c r="AS20" s="30"/>
      <c r="AT20" s="30"/>
      <c r="AU20" s="30"/>
      <c r="AV20" s="30"/>
      <c r="AX20" s="114" t="str">
        <f>AJ20&amp;"_"&amp;COUNTIF($AJ$5:AJ20,AJ20)</f>
        <v>-_10</v>
      </c>
    </row>
    <row r="21" spans="1:50">
      <c r="A21" s="112"/>
      <c r="B21" s="44">
        <f>INPUT!F21</f>
        <v>0</v>
      </c>
      <c r="C21" s="47">
        <f>INPUT!C21</f>
        <v>0</v>
      </c>
      <c r="D21" s="106">
        <f>INPUT!D21</f>
        <v>0</v>
      </c>
      <c r="E21" s="48">
        <f>INPUT!E21</f>
        <v>0</v>
      </c>
      <c r="F21" s="39" t="str">
        <f>INPUT!G21</f>
        <v>0011</v>
      </c>
      <c r="G21" s="37" t="str">
        <f>INPUT!I21</f>
        <v>ABS</v>
      </c>
      <c r="H21" s="37" t="str">
        <f>INPUT!K21</f>
        <v>ABS</v>
      </c>
      <c r="I21" s="37" t="str">
        <f>INPUT!M21</f>
        <v>ABS</v>
      </c>
      <c r="J21" s="38" t="str">
        <f>INPUT!L21</f>
        <v>ABS</v>
      </c>
      <c r="K21" s="205" t="str">
        <f>INPUT!N21</f>
        <v>0031</v>
      </c>
      <c r="L21" s="49" t="str">
        <f>INPUT!P21</f>
        <v>ABS</v>
      </c>
      <c r="M21" s="49" t="str">
        <f>INPUT!R21</f>
        <v>ABS</v>
      </c>
      <c r="N21" s="49" t="str">
        <f>INPUT!T21</f>
        <v>ABS</v>
      </c>
      <c r="O21" s="46" t="str">
        <f>INPUT!S21</f>
        <v>ABS</v>
      </c>
      <c r="P21" s="202" t="str">
        <f>INPUT!U21</f>
        <v>0051</v>
      </c>
      <c r="Q21" s="49" t="str">
        <f>INPUT!W21</f>
        <v>ABS</v>
      </c>
      <c r="R21" s="49" t="str">
        <f>INPUT!Y21</f>
        <v>ABS</v>
      </c>
      <c r="S21" s="49" t="str">
        <f>INPUT!AA21</f>
        <v>ABS</v>
      </c>
      <c r="T21" s="38" t="str">
        <f>INPUT!Z21</f>
        <v>ABS</v>
      </c>
      <c r="U21" s="208">
        <f>INPUT!AB21</f>
        <v>0</v>
      </c>
      <c r="V21" s="49" t="str">
        <f>INPUT!AD21</f>
        <v>ABS</v>
      </c>
      <c r="W21" s="49" t="str">
        <f>INPUT!AF21</f>
        <v>ABS</v>
      </c>
      <c r="X21" s="49" t="str">
        <f>INPUT!AH21</f>
        <v>ABS</v>
      </c>
      <c r="Y21" s="46" t="str">
        <f>INPUT!AG21</f>
        <v>ABS</v>
      </c>
      <c r="Z21" s="208">
        <f>INPUT!AI21</f>
        <v>0</v>
      </c>
      <c r="AA21" s="49" t="str">
        <f>INPUT!AK21</f>
        <v>ABS</v>
      </c>
      <c r="AB21" s="49" t="str">
        <f>INPUT!AM21</f>
        <v>ABS</v>
      </c>
      <c r="AC21" s="49" t="str">
        <f>INPUT!AO21</f>
        <v>ABS</v>
      </c>
      <c r="AD21" s="46" t="str">
        <f>INPUT!AN21</f>
        <v>ABS</v>
      </c>
      <c r="AE21" s="203">
        <f>INPUT!AP21</f>
        <v>0</v>
      </c>
      <c r="AF21" s="49" t="str">
        <f>INPUT!AR21</f>
        <v>ABS</v>
      </c>
      <c r="AG21" s="49" t="str">
        <f>INPUT!AT21</f>
        <v>ABS</v>
      </c>
      <c r="AH21" s="49" t="str">
        <f>INPUT!AV21</f>
        <v>ABS</v>
      </c>
      <c r="AI21" s="38" t="str">
        <f>INPUT!AU21</f>
        <v>ABS</v>
      </c>
      <c r="AJ21" s="40" t="str">
        <f t="shared" si="0"/>
        <v>-</v>
      </c>
      <c r="AK21" s="213">
        <f>INPUT!AX21</f>
        <v>0</v>
      </c>
      <c r="AL21" s="49" t="str">
        <f>INPUT!AZ21</f>
        <v>ABS</v>
      </c>
      <c r="AM21" s="49" t="str">
        <f>INPUT!BB21</f>
        <v>ABS</v>
      </c>
      <c r="AN21" s="49" t="str">
        <f>INPUT!BD21</f>
        <v>ABS</v>
      </c>
      <c r="AO21" s="212" t="str">
        <f>INPUT!BC21</f>
        <v>ABS</v>
      </c>
      <c r="AP21" s="41" t="str">
        <f t="shared" si="1"/>
        <v/>
      </c>
      <c r="AQ21" s="41" t="str">
        <f t="shared" si="2"/>
        <v>ABS</v>
      </c>
      <c r="AR21" s="41" t="str">
        <f t="shared" si="3"/>
        <v/>
      </c>
      <c r="AS21" s="30"/>
      <c r="AT21" s="30"/>
      <c r="AU21" s="30"/>
      <c r="AV21" s="30"/>
      <c r="AX21" s="114" t="str">
        <f>AJ21&amp;"_"&amp;COUNTIF($AJ$5:AJ21,AJ21)</f>
        <v>-_11</v>
      </c>
    </row>
    <row r="22" spans="1:50">
      <c r="A22" s="112"/>
      <c r="B22" s="44">
        <f>INPUT!F22</f>
        <v>0</v>
      </c>
      <c r="C22" s="47">
        <f>INPUT!C22</f>
        <v>0</v>
      </c>
      <c r="D22" s="106">
        <f>INPUT!D22</f>
        <v>0</v>
      </c>
      <c r="E22" s="48">
        <f>INPUT!E22</f>
        <v>0</v>
      </c>
      <c r="F22" s="39" t="str">
        <f>INPUT!G22</f>
        <v>0011</v>
      </c>
      <c r="G22" s="37" t="str">
        <f>INPUT!I22</f>
        <v>ABS</v>
      </c>
      <c r="H22" s="37" t="str">
        <f>INPUT!K22</f>
        <v>ABS</v>
      </c>
      <c r="I22" s="37" t="str">
        <f>INPUT!M22</f>
        <v>ABS</v>
      </c>
      <c r="J22" s="38" t="str">
        <f>INPUT!L22</f>
        <v>ABS</v>
      </c>
      <c r="K22" s="205" t="str">
        <f>INPUT!N22</f>
        <v>0031</v>
      </c>
      <c r="L22" s="49" t="str">
        <f>INPUT!P22</f>
        <v>ABS</v>
      </c>
      <c r="M22" s="49" t="str">
        <f>INPUT!R22</f>
        <v>ABS</v>
      </c>
      <c r="N22" s="49" t="str">
        <f>INPUT!T22</f>
        <v>ABS</v>
      </c>
      <c r="O22" s="46" t="str">
        <f>INPUT!S22</f>
        <v>ABS</v>
      </c>
      <c r="P22" s="202" t="str">
        <f>INPUT!U22</f>
        <v>0051</v>
      </c>
      <c r="Q22" s="49" t="str">
        <f>INPUT!W22</f>
        <v>ABS</v>
      </c>
      <c r="R22" s="49" t="str">
        <f>INPUT!Y22</f>
        <v>ABS</v>
      </c>
      <c r="S22" s="49" t="str">
        <f>INPUT!AA22</f>
        <v>ABS</v>
      </c>
      <c r="T22" s="38" t="str">
        <f>INPUT!Z22</f>
        <v>ABS</v>
      </c>
      <c r="U22" s="208">
        <f>INPUT!AB22</f>
        <v>0</v>
      </c>
      <c r="V22" s="49" t="str">
        <f>INPUT!AD22</f>
        <v>ABS</v>
      </c>
      <c r="W22" s="49" t="str">
        <f>INPUT!AF22</f>
        <v>ABS</v>
      </c>
      <c r="X22" s="49" t="str">
        <f>INPUT!AH22</f>
        <v>ABS</v>
      </c>
      <c r="Y22" s="46" t="str">
        <f>INPUT!AG22</f>
        <v>ABS</v>
      </c>
      <c r="Z22" s="208">
        <f>INPUT!AI22</f>
        <v>0</v>
      </c>
      <c r="AA22" s="49" t="str">
        <f>INPUT!AK22</f>
        <v>ABS</v>
      </c>
      <c r="AB22" s="49" t="str">
        <f>INPUT!AM22</f>
        <v>ABS</v>
      </c>
      <c r="AC22" s="49" t="str">
        <f>INPUT!AO22</f>
        <v>ABS</v>
      </c>
      <c r="AD22" s="46" t="str">
        <f>INPUT!AN22</f>
        <v>ABS</v>
      </c>
      <c r="AE22" s="203">
        <f>INPUT!AP22</f>
        <v>0</v>
      </c>
      <c r="AF22" s="49" t="str">
        <f>INPUT!AR22</f>
        <v>ABS</v>
      </c>
      <c r="AG22" s="49" t="str">
        <f>INPUT!AT22</f>
        <v>ABS</v>
      </c>
      <c r="AH22" s="49" t="str">
        <f>INPUT!AV22</f>
        <v>ABS</v>
      </c>
      <c r="AI22" s="38" t="str">
        <f>INPUT!AU22</f>
        <v>ABS</v>
      </c>
      <c r="AJ22" s="40" t="str">
        <f t="shared" si="0"/>
        <v>-</v>
      </c>
      <c r="AK22" s="213">
        <f>INPUT!AX22</f>
        <v>0</v>
      </c>
      <c r="AL22" s="49" t="str">
        <f>INPUT!AZ22</f>
        <v>ABS</v>
      </c>
      <c r="AM22" s="49" t="str">
        <f>INPUT!BB22</f>
        <v>ABS</v>
      </c>
      <c r="AN22" s="49" t="str">
        <f>INPUT!BD22</f>
        <v>ABS</v>
      </c>
      <c r="AO22" s="212" t="str">
        <f>INPUT!BC22</f>
        <v>ABS</v>
      </c>
      <c r="AP22" s="41" t="str">
        <f t="shared" si="1"/>
        <v/>
      </c>
      <c r="AQ22" s="41" t="str">
        <f t="shared" si="2"/>
        <v>ABS</v>
      </c>
      <c r="AR22" s="41" t="str">
        <f t="shared" si="3"/>
        <v/>
      </c>
      <c r="AS22" s="30"/>
      <c r="AT22" s="30"/>
      <c r="AU22" s="30"/>
      <c r="AV22" s="30"/>
      <c r="AX22" s="114" t="str">
        <f>AJ22&amp;"_"&amp;COUNTIF($AJ$5:AJ22,AJ22)</f>
        <v>-_12</v>
      </c>
    </row>
    <row r="23" spans="1:50">
      <c r="A23" s="112"/>
      <c r="B23" s="44">
        <f>INPUT!F23</f>
        <v>0</v>
      </c>
      <c r="C23" s="47">
        <f>INPUT!C23</f>
        <v>0</v>
      </c>
      <c r="D23" s="106">
        <f>INPUT!D23</f>
        <v>0</v>
      </c>
      <c r="E23" s="48">
        <f>INPUT!E23</f>
        <v>0</v>
      </c>
      <c r="F23" s="39" t="str">
        <f>INPUT!G23</f>
        <v>0011</v>
      </c>
      <c r="G23" s="37" t="str">
        <f>INPUT!I23</f>
        <v>ABS</v>
      </c>
      <c r="H23" s="37" t="str">
        <f>INPUT!K23</f>
        <v>ABS</v>
      </c>
      <c r="I23" s="37" t="str">
        <f>INPUT!M23</f>
        <v>ABS</v>
      </c>
      <c r="J23" s="38" t="str">
        <f>INPUT!L23</f>
        <v>ABS</v>
      </c>
      <c r="K23" s="205" t="str">
        <f>INPUT!N23</f>
        <v>0031</v>
      </c>
      <c r="L23" s="49" t="str">
        <f>INPUT!P23</f>
        <v>ABS</v>
      </c>
      <c r="M23" s="49" t="str">
        <f>INPUT!R23</f>
        <v>ABS</v>
      </c>
      <c r="N23" s="49" t="str">
        <f>INPUT!T23</f>
        <v>ABS</v>
      </c>
      <c r="O23" s="46" t="str">
        <f>INPUT!S23</f>
        <v>ABS</v>
      </c>
      <c r="P23" s="202" t="str">
        <f>INPUT!U23</f>
        <v>0051</v>
      </c>
      <c r="Q23" s="49" t="str">
        <f>INPUT!W23</f>
        <v>ABS</v>
      </c>
      <c r="R23" s="49" t="str">
        <f>INPUT!Y23</f>
        <v>ABS</v>
      </c>
      <c r="S23" s="49" t="str">
        <f>INPUT!AA23</f>
        <v>ABS</v>
      </c>
      <c r="T23" s="38" t="str">
        <f>INPUT!Z23</f>
        <v>ABS</v>
      </c>
      <c r="U23" s="208">
        <f>INPUT!AB23</f>
        <v>0</v>
      </c>
      <c r="V23" s="49" t="str">
        <f>INPUT!AD23</f>
        <v>ABS</v>
      </c>
      <c r="W23" s="49" t="str">
        <f>INPUT!AF23</f>
        <v>ABS</v>
      </c>
      <c r="X23" s="49" t="str">
        <f>INPUT!AH23</f>
        <v>ABS</v>
      </c>
      <c r="Y23" s="46" t="str">
        <f>INPUT!AG23</f>
        <v>ABS</v>
      </c>
      <c r="Z23" s="208">
        <f>INPUT!AI23</f>
        <v>0</v>
      </c>
      <c r="AA23" s="49" t="str">
        <f>INPUT!AK23</f>
        <v>ABS</v>
      </c>
      <c r="AB23" s="49" t="str">
        <f>INPUT!AM23</f>
        <v>ABS</v>
      </c>
      <c r="AC23" s="49" t="str">
        <f>INPUT!AO23</f>
        <v>ABS</v>
      </c>
      <c r="AD23" s="46" t="str">
        <f>INPUT!AN23</f>
        <v>ABS</v>
      </c>
      <c r="AE23" s="203">
        <f>INPUT!AP23</f>
        <v>0</v>
      </c>
      <c r="AF23" s="49" t="str">
        <f>INPUT!AR23</f>
        <v>ABS</v>
      </c>
      <c r="AG23" s="49" t="str">
        <f>INPUT!AT23</f>
        <v>ABS</v>
      </c>
      <c r="AH23" s="49" t="str">
        <f>INPUT!AV23</f>
        <v>ABS</v>
      </c>
      <c r="AI23" s="38" t="str">
        <f>INPUT!AU23</f>
        <v>ABS</v>
      </c>
      <c r="AJ23" s="40" t="str">
        <f t="shared" si="0"/>
        <v>-</v>
      </c>
      <c r="AK23" s="213">
        <f>INPUT!AX23</f>
        <v>0</v>
      </c>
      <c r="AL23" s="49" t="str">
        <f>INPUT!AZ23</f>
        <v>ABS</v>
      </c>
      <c r="AM23" s="49" t="str">
        <f>INPUT!BB23</f>
        <v>ABS</v>
      </c>
      <c r="AN23" s="49" t="str">
        <f>INPUT!BD23</f>
        <v>ABS</v>
      </c>
      <c r="AO23" s="212" t="str">
        <f>INPUT!BC23</f>
        <v>ABS</v>
      </c>
      <c r="AP23" s="41" t="str">
        <f t="shared" si="1"/>
        <v/>
      </c>
      <c r="AQ23" s="41" t="str">
        <f t="shared" si="2"/>
        <v>ABS</v>
      </c>
      <c r="AR23" s="41" t="str">
        <f t="shared" si="3"/>
        <v/>
      </c>
      <c r="AS23" s="30"/>
      <c r="AT23" s="30"/>
      <c r="AU23" s="30"/>
      <c r="AV23" s="30"/>
      <c r="AX23" s="114" t="str">
        <f>AJ23&amp;"_"&amp;COUNTIF($AJ$5:AJ23,AJ23)</f>
        <v>-_13</v>
      </c>
    </row>
    <row r="24" spans="1:50">
      <c r="A24" s="112"/>
      <c r="B24" s="44">
        <f>INPUT!F24</f>
        <v>0</v>
      </c>
      <c r="C24" s="47">
        <f>INPUT!C24</f>
        <v>0</v>
      </c>
      <c r="D24" s="106">
        <f>INPUT!D24</f>
        <v>0</v>
      </c>
      <c r="E24" s="48">
        <f>INPUT!E24</f>
        <v>0</v>
      </c>
      <c r="F24" s="39" t="str">
        <f>INPUT!G24</f>
        <v>0011</v>
      </c>
      <c r="G24" s="37" t="str">
        <f>INPUT!I24</f>
        <v>ABS</v>
      </c>
      <c r="H24" s="37" t="str">
        <f>INPUT!K24</f>
        <v>ABS</v>
      </c>
      <c r="I24" s="37" t="str">
        <f>INPUT!M24</f>
        <v>ABS</v>
      </c>
      <c r="J24" s="38" t="str">
        <f>INPUT!L24</f>
        <v>ABS</v>
      </c>
      <c r="K24" s="205" t="str">
        <f>INPUT!N24</f>
        <v>0031</v>
      </c>
      <c r="L24" s="49" t="str">
        <f>INPUT!P24</f>
        <v>ABS</v>
      </c>
      <c r="M24" s="49" t="str">
        <f>INPUT!R24</f>
        <v>ABS</v>
      </c>
      <c r="N24" s="49" t="str">
        <f>INPUT!T24</f>
        <v>ABS</v>
      </c>
      <c r="O24" s="46" t="str">
        <f>INPUT!S24</f>
        <v>ABS</v>
      </c>
      <c r="P24" s="202" t="str">
        <f>INPUT!U24</f>
        <v>0051</v>
      </c>
      <c r="Q24" s="49" t="str">
        <f>INPUT!W24</f>
        <v>ABS</v>
      </c>
      <c r="R24" s="49" t="str">
        <f>INPUT!Y24</f>
        <v>ABS</v>
      </c>
      <c r="S24" s="49" t="str">
        <f>INPUT!AA24</f>
        <v>ABS</v>
      </c>
      <c r="T24" s="38" t="str">
        <f>INPUT!Z24</f>
        <v>ABS</v>
      </c>
      <c r="U24" s="208">
        <f>INPUT!AB24</f>
        <v>0</v>
      </c>
      <c r="V24" s="49" t="str">
        <f>INPUT!AD24</f>
        <v>ABS</v>
      </c>
      <c r="W24" s="49" t="str">
        <f>INPUT!AF24</f>
        <v>ABS</v>
      </c>
      <c r="X24" s="49" t="str">
        <f>INPUT!AH24</f>
        <v>ABS</v>
      </c>
      <c r="Y24" s="46" t="str">
        <f>INPUT!AG24</f>
        <v>ABS</v>
      </c>
      <c r="Z24" s="208">
        <f>INPUT!AI24</f>
        <v>0</v>
      </c>
      <c r="AA24" s="49" t="str">
        <f>INPUT!AK24</f>
        <v>ABS</v>
      </c>
      <c r="AB24" s="49" t="str">
        <f>INPUT!AM24</f>
        <v>ABS</v>
      </c>
      <c r="AC24" s="49" t="str">
        <f>INPUT!AO24</f>
        <v>ABS</v>
      </c>
      <c r="AD24" s="46" t="str">
        <f>INPUT!AN24</f>
        <v>ABS</v>
      </c>
      <c r="AE24" s="203">
        <f>INPUT!AP24</f>
        <v>0</v>
      </c>
      <c r="AF24" s="49" t="str">
        <f>INPUT!AR24</f>
        <v>ABS</v>
      </c>
      <c r="AG24" s="49" t="str">
        <f>INPUT!AT24</f>
        <v>ABS</v>
      </c>
      <c r="AH24" s="49" t="str">
        <f>INPUT!AV24</f>
        <v>ABS</v>
      </c>
      <c r="AI24" s="38" t="str">
        <f>INPUT!AU24</f>
        <v>ABS</v>
      </c>
      <c r="AJ24" s="40" t="str">
        <f t="shared" si="0"/>
        <v>-</v>
      </c>
      <c r="AK24" s="213">
        <f>INPUT!AX24</f>
        <v>0</v>
      </c>
      <c r="AL24" s="49" t="str">
        <f>INPUT!AZ24</f>
        <v>ABS</v>
      </c>
      <c r="AM24" s="49" t="str">
        <f>INPUT!BB24</f>
        <v>ABS</v>
      </c>
      <c r="AN24" s="49" t="str">
        <f>INPUT!BD24</f>
        <v>ABS</v>
      </c>
      <c r="AO24" s="212" t="str">
        <f>INPUT!BC24</f>
        <v>ABS</v>
      </c>
      <c r="AP24" s="41" t="str">
        <f t="shared" si="1"/>
        <v/>
      </c>
      <c r="AQ24" s="41" t="str">
        <f t="shared" si="2"/>
        <v>ABS</v>
      </c>
      <c r="AR24" s="41" t="str">
        <f t="shared" si="3"/>
        <v/>
      </c>
      <c r="AS24" s="30"/>
      <c r="AT24" s="30"/>
      <c r="AU24" s="30"/>
      <c r="AV24" s="30"/>
      <c r="AX24" s="114" t="str">
        <f>AJ24&amp;"_"&amp;COUNTIF($AJ$5:AJ24,AJ24)</f>
        <v>-_14</v>
      </c>
    </row>
    <row r="25" spans="1:50">
      <c r="A25" s="112"/>
      <c r="B25" s="44">
        <f>INPUT!F25</f>
        <v>0</v>
      </c>
      <c r="C25" s="47">
        <f>INPUT!C25</f>
        <v>0</v>
      </c>
      <c r="D25" s="106">
        <f>INPUT!D25</f>
        <v>0</v>
      </c>
      <c r="E25" s="48">
        <f>INPUT!E25</f>
        <v>0</v>
      </c>
      <c r="F25" s="39" t="str">
        <f>INPUT!G25</f>
        <v>0011</v>
      </c>
      <c r="G25" s="37" t="str">
        <f>INPUT!I25</f>
        <v>ABS</v>
      </c>
      <c r="H25" s="37" t="str">
        <f>INPUT!K25</f>
        <v>ABS</v>
      </c>
      <c r="I25" s="37" t="str">
        <f>INPUT!M25</f>
        <v>ABS</v>
      </c>
      <c r="J25" s="38" t="str">
        <f>INPUT!L25</f>
        <v>ABS</v>
      </c>
      <c r="K25" s="205" t="str">
        <f>INPUT!N25</f>
        <v>0031</v>
      </c>
      <c r="L25" s="49" t="str">
        <f>INPUT!P25</f>
        <v>ABS</v>
      </c>
      <c r="M25" s="49" t="str">
        <f>INPUT!R25</f>
        <v>ABS</v>
      </c>
      <c r="N25" s="49" t="str">
        <f>INPUT!T25</f>
        <v>ABS</v>
      </c>
      <c r="O25" s="46" t="str">
        <f>INPUT!S25</f>
        <v>ABS</v>
      </c>
      <c r="P25" s="202" t="str">
        <f>INPUT!U25</f>
        <v>0051</v>
      </c>
      <c r="Q25" s="49" t="str">
        <f>INPUT!W25</f>
        <v>ABS</v>
      </c>
      <c r="R25" s="49" t="str">
        <f>INPUT!Y25</f>
        <v>ABS</v>
      </c>
      <c r="S25" s="49" t="str">
        <f>INPUT!AA25</f>
        <v>ABS</v>
      </c>
      <c r="T25" s="38" t="str">
        <f>INPUT!Z25</f>
        <v>ABS</v>
      </c>
      <c r="U25" s="208">
        <f>INPUT!AB25</f>
        <v>0</v>
      </c>
      <c r="V25" s="49" t="str">
        <f>INPUT!AD25</f>
        <v>ABS</v>
      </c>
      <c r="W25" s="49" t="str">
        <f>INPUT!AF25</f>
        <v>ABS</v>
      </c>
      <c r="X25" s="49" t="str">
        <f>INPUT!AH25</f>
        <v>ABS</v>
      </c>
      <c r="Y25" s="46" t="str">
        <f>INPUT!AG25</f>
        <v>ABS</v>
      </c>
      <c r="Z25" s="208">
        <f>INPUT!AI25</f>
        <v>0</v>
      </c>
      <c r="AA25" s="49" t="str">
        <f>INPUT!AK25</f>
        <v>ABS</v>
      </c>
      <c r="AB25" s="49" t="str">
        <f>INPUT!AM25</f>
        <v>ABS</v>
      </c>
      <c r="AC25" s="49" t="str">
        <f>INPUT!AO25</f>
        <v>ABS</v>
      </c>
      <c r="AD25" s="46" t="str">
        <f>INPUT!AN25</f>
        <v>ABS</v>
      </c>
      <c r="AE25" s="203">
        <f>INPUT!AP25</f>
        <v>0</v>
      </c>
      <c r="AF25" s="49" t="str">
        <f>INPUT!AR25</f>
        <v>ABS</v>
      </c>
      <c r="AG25" s="49" t="str">
        <f>INPUT!AT25</f>
        <v>ABS</v>
      </c>
      <c r="AH25" s="49" t="str">
        <f>INPUT!AV25</f>
        <v>ABS</v>
      </c>
      <c r="AI25" s="38" t="str">
        <f>INPUT!AU25</f>
        <v>ABS</v>
      </c>
      <c r="AJ25" s="40" t="str">
        <f t="shared" si="0"/>
        <v>-</v>
      </c>
      <c r="AK25" s="213">
        <f>INPUT!AX25</f>
        <v>0</v>
      </c>
      <c r="AL25" s="49" t="str">
        <f>INPUT!AZ25</f>
        <v>ABS</v>
      </c>
      <c r="AM25" s="49" t="str">
        <f>INPUT!BB25</f>
        <v>ABS</v>
      </c>
      <c r="AN25" s="49" t="str">
        <f>INPUT!BD25</f>
        <v>ABS</v>
      </c>
      <c r="AO25" s="212" t="str">
        <f>INPUT!BC25</f>
        <v>ABS</v>
      </c>
      <c r="AP25" s="41" t="str">
        <f t="shared" si="1"/>
        <v/>
      </c>
      <c r="AQ25" s="41" t="str">
        <f t="shared" si="2"/>
        <v>ABS</v>
      </c>
      <c r="AR25" s="41" t="str">
        <f t="shared" si="3"/>
        <v/>
      </c>
      <c r="AS25" s="30"/>
      <c r="AT25" s="30"/>
      <c r="AU25" s="30"/>
      <c r="AV25" s="30"/>
      <c r="AX25" s="114" t="str">
        <f>AJ25&amp;"_"&amp;COUNTIF($AJ$5:AJ25,AJ25)</f>
        <v>-_15</v>
      </c>
    </row>
    <row r="26" spans="1:50">
      <c r="A26" s="112"/>
      <c r="B26" s="44">
        <f>INPUT!F26</f>
        <v>0</v>
      </c>
      <c r="C26" s="47">
        <f>INPUT!C26</f>
        <v>0</v>
      </c>
      <c r="D26" s="106">
        <f>INPUT!D26</f>
        <v>0</v>
      </c>
      <c r="E26" s="48">
        <f>INPUT!E26</f>
        <v>0</v>
      </c>
      <c r="F26" s="39" t="str">
        <f>INPUT!G26</f>
        <v>0011</v>
      </c>
      <c r="G26" s="37" t="str">
        <f>INPUT!I26</f>
        <v>ABS</v>
      </c>
      <c r="H26" s="37" t="str">
        <f>INPUT!K26</f>
        <v>ABS</v>
      </c>
      <c r="I26" s="37" t="str">
        <f>INPUT!M26</f>
        <v>ABS</v>
      </c>
      <c r="J26" s="38" t="str">
        <f>INPUT!L26</f>
        <v>ABS</v>
      </c>
      <c r="K26" s="205" t="str">
        <f>INPUT!N26</f>
        <v>0031</v>
      </c>
      <c r="L26" s="49" t="str">
        <f>INPUT!P26</f>
        <v>ABS</v>
      </c>
      <c r="M26" s="49" t="str">
        <f>INPUT!R26</f>
        <v>ABS</v>
      </c>
      <c r="N26" s="49" t="str">
        <f>INPUT!T26</f>
        <v>ABS</v>
      </c>
      <c r="O26" s="46" t="str">
        <f>INPUT!S26</f>
        <v>ABS</v>
      </c>
      <c r="P26" s="202" t="str">
        <f>INPUT!U26</f>
        <v>0051</v>
      </c>
      <c r="Q26" s="49" t="str">
        <f>INPUT!W26</f>
        <v>ABS</v>
      </c>
      <c r="R26" s="49" t="str">
        <f>INPUT!Y26</f>
        <v>ABS</v>
      </c>
      <c r="S26" s="49" t="str">
        <f>INPUT!AA26</f>
        <v>ABS</v>
      </c>
      <c r="T26" s="38" t="str">
        <f>INPUT!Z26</f>
        <v>ABS</v>
      </c>
      <c r="U26" s="208">
        <f>INPUT!AB26</f>
        <v>0</v>
      </c>
      <c r="V26" s="49" t="str">
        <f>INPUT!AD26</f>
        <v>ABS</v>
      </c>
      <c r="W26" s="49" t="str">
        <f>INPUT!AF26</f>
        <v>ABS</v>
      </c>
      <c r="X26" s="49" t="str">
        <f>INPUT!AH26</f>
        <v>ABS</v>
      </c>
      <c r="Y26" s="46" t="str">
        <f>INPUT!AG26</f>
        <v>ABS</v>
      </c>
      <c r="Z26" s="208">
        <f>INPUT!AI26</f>
        <v>0</v>
      </c>
      <c r="AA26" s="49" t="str">
        <f>INPUT!AK26</f>
        <v>ABS</v>
      </c>
      <c r="AB26" s="49" t="str">
        <f>INPUT!AM26</f>
        <v>ABS</v>
      </c>
      <c r="AC26" s="49" t="str">
        <f>INPUT!AO26</f>
        <v>ABS</v>
      </c>
      <c r="AD26" s="46" t="str">
        <f>INPUT!AN26</f>
        <v>ABS</v>
      </c>
      <c r="AE26" s="203">
        <f>INPUT!AP26</f>
        <v>0</v>
      </c>
      <c r="AF26" s="49" t="str">
        <f>INPUT!AR26</f>
        <v>ABS</v>
      </c>
      <c r="AG26" s="49" t="str">
        <f>INPUT!AT26</f>
        <v>ABS</v>
      </c>
      <c r="AH26" s="49" t="str">
        <f>INPUT!AV26</f>
        <v>ABS</v>
      </c>
      <c r="AI26" s="38" t="str">
        <f>INPUT!AU26</f>
        <v>ABS</v>
      </c>
      <c r="AJ26" s="40" t="str">
        <f t="shared" si="0"/>
        <v>-</v>
      </c>
      <c r="AK26" s="213">
        <f>INPUT!AX26</f>
        <v>0</v>
      </c>
      <c r="AL26" s="49" t="str">
        <f>INPUT!AZ26</f>
        <v>ABS</v>
      </c>
      <c r="AM26" s="49" t="str">
        <f>INPUT!BB26</f>
        <v>ABS</v>
      </c>
      <c r="AN26" s="49" t="str">
        <f>INPUT!BD26</f>
        <v>ABS</v>
      </c>
      <c r="AO26" s="212" t="str">
        <f>INPUT!BC26</f>
        <v>ABS</v>
      </c>
      <c r="AP26" s="41" t="str">
        <f t="shared" si="1"/>
        <v/>
      </c>
      <c r="AQ26" s="41" t="str">
        <f t="shared" si="2"/>
        <v>ABS</v>
      </c>
      <c r="AR26" s="41" t="str">
        <f t="shared" si="3"/>
        <v/>
      </c>
      <c r="AS26" s="30"/>
      <c r="AT26" s="30"/>
      <c r="AU26" s="30"/>
      <c r="AV26" s="30"/>
      <c r="AX26" s="114" t="str">
        <f>AJ26&amp;"_"&amp;COUNTIF($AJ$5:AJ26,AJ26)</f>
        <v>-_16</v>
      </c>
    </row>
    <row r="27" spans="1:50">
      <c r="A27" s="112"/>
      <c r="B27" s="44">
        <f>INPUT!F27</f>
        <v>0</v>
      </c>
      <c r="C27" s="47">
        <f>INPUT!C27</f>
        <v>0</v>
      </c>
      <c r="D27" s="106">
        <f>INPUT!D27</f>
        <v>0</v>
      </c>
      <c r="E27" s="48">
        <f>INPUT!E27</f>
        <v>0</v>
      </c>
      <c r="F27" s="39" t="str">
        <f>INPUT!G27</f>
        <v>0011</v>
      </c>
      <c r="G27" s="37" t="str">
        <f>INPUT!I27</f>
        <v>ABS</v>
      </c>
      <c r="H27" s="37" t="str">
        <f>INPUT!K27</f>
        <v>ABS</v>
      </c>
      <c r="I27" s="37" t="str">
        <f>INPUT!M27</f>
        <v>ABS</v>
      </c>
      <c r="J27" s="38" t="str">
        <f>INPUT!L27</f>
        <v>ABS</v>
      </c>
      <c r="K27" s="205" t="str">
        <f>INPUT!N27</f>
        <v>0031</v>
      </c>
      <c r="L27" s="49" t="str">
        <f>INPUT!P27</f>
        <v>ABS</v>
      </c>
      <c r="M27" s="49" t="str">
        <f>INPUT!R27</f>
        <v>ABS</v>
      </c>
      <c r="N27" s="49" t="str">
        <f>INPUT!T27</f>
        <v>ABS</v>
      </c>
      <c r="O27" s="46" t="str">
        <f>INPUT!S27</f>
        <v>ABS</v>
      </c>
      <c r="P27" s="202" t="str">
        <f>INPUT!U27</f>
        <v>0051</v>
      </c>
      <c r="Q27" s="49" t="str">
        <f>INPUT!W27</f>
        <v>ABS</v>
      </c>
      <c r="R27" s="49" t="str">
        <f>INPUT!Y27</f>
        <v>ABS</v>
      </c>
      <c r="S27" s="49" t="str">
        <f>INPUT!AA27</f>
        <v>ABS</v>
      </c>
      <c r="T27" s="38" t="str">
        <f>INPUT!Z27</f>
        <v>ABS</v>
      </c>
      <c r="U27" s="208">
        <f>INPUT!AB27</f>
        <v>0</v>
      </c>
      <c r="V27" s="49" t="str">
        <f>INPUT!AD27</f>
        <v>ABS</v>
      </c>
      <c r="W27" s="49" t="str">
        <f>INPUT!AF27</f>
        <v>ABS</v>
      </c>
      <c r="X27" s="49" t="str">
        <f>INPUT!AH27</f>
        <v>ABS</v>
      </c>
      <c r="Y27" s="46" t="str">
        <f>INPUT!AG27</f>
        <v>ABS</v>
      </c>
      <c r="Z27" s="208">
        <f>INPUT!AI27</f>
        <v>0</v>
      </c>
      <c r="AA27" s="49" t="str">
        <f>INPUT!AK27</f>
        <v>ABS</v>
      </c>
      <c r="AB27" s="49" t="str">
        <f>INPUT!AM27</f>
        <v>ABS</v>
      </c>
      <c r="AC27" s="49" t="str">
        <f>INPUT!AO27</f>
        <v>ABS</v>
      </c>
      <c r="AD27" s="46" t="str">
        <f>INPUT!AN27</f>
        <v>ABS</v>
      </c>
      <c r="AE27" s="203">
        <f>INPUT!AP27</f>
        <v>0</v>
      </c>
      <c r="AF27" s="49" t="str">
        <f>INPUT!AR27</f>
        <v>ABS</v>
      </c>
      <c r="AG27" s="49" t="str">
        <f>INPUT!AT27</f>
        <v>ABS</v>
      </c>
      <c r="AH27" s="49" t="str">
        <f>INPUT!AV27</f>
        <v>ABS</v>
      </c>
      <c r="AI27" s="38" t="str">
        <f>INPUT!AU27</f>
        <v>ABS</v>
      </c>
      <c r="AJ27" s="40" t="str">
        <f t="shared" si="0"/>
        <v>-</v>
      </c>
      <c r="AK27" s="213">
        <f>INPUT!AX27</f>
        <v>0</v>
      </c>
      <c r="AL27" s="49" t="str">
        <f>INPUT!AZ27</f>
        <v>ABS</v>
      </c>
      <c r="AM27" s="49" t="str">
        <f>INPUT!BB27</f>
        <v>ABS</v>
      </c>
      <c r="AN27" s="49" t="str">
        <f>INPUT!BD27</f>
        <v>ABS</v>
      </c>
      <c r="AO27" s="212" t="str">
        <f>INPUT!BC27</f>
        <v>ABS</v>
      </c>
      <c r="AP27" s="41" t="str">
        <f t="shared" si="1"/>
        <v/>
      </c>
      <c r="AQ27" s="41" t="str">
        <f t="shared" si="2"/>
        <v>ABS</v>
      </c>
      <c r="AR27" s="41" t="str">
        <f t="shared" si="3"/>
        <v/>
      </c>
      <c r="AS27" s="30"/>
      <c r="AT27" s="30"/>
      <c r="AU27" s="30"/>
      <c r="AV27" s="30"/>
      <c r="AX27" s="114" t="str">
        <f>AJ27&amp;"_"&amp;COUNTIF($AJ$5:AJ27,AJ27)</f>
        <v>-_17</v>
      </c>
    </row>
    <row r="28" spans="1:50">
      <c r="A28" s="112"/>
      <c r="B28" s="44">
        <f>INPUT!F28</f>
        <v>0</v>
      </c>
      <c r="C28" s="47">
        <f>INPUT!C28</f>
        <v>0</v>
      </c>
      <c r="D28" s="106">
        <f>INPUT!D28</f>
        <v>0</v>
      </c>
      <c r="E28" s="48">
        <f>INPUT!E28</f>
        <v>0</v>
      </c>
      <c r="F28" s="39" t="str">
        <f>INPUT!G28</f>
        <v>0011</v>
      </c>
      <c r="G28" s="37" t="str">
        <f>INPUT!I28</f>
        <v>ABS</v>
      </c>
      <c r="H28" s="37" t="str">
        <f>INPUT!K28</f>
        <v>ABS</v>
      </c>
      <c r="I28" s="37" t="str">
        <f>INPUT!M28</f>
        <v>ABS</v>
      </c>
      <c r="J28" s="38" t="str">
        <f>INPUT!L28</f>
        <v>ABS</v>
      </c>
      <c r="K28" s="205" t="str">
        <f>INPUT!N28</f>
        <v>0031</v>
      </c>
      <c r="L28" s="49" t="str">
        <f>INPUT!P28</f>
        <v>ABS</v>
      </c>
      <c r="M28" s="49" t="str">
        <f>INPUT!R28</f>
        <v>ABS</v>
      </c>
      <c r="N28" s="49" t="str">
        <f>INPUT!T28</f>
        <v>ABS</v>
      </c>
      <c r="O28" s="46" t="str">
        <f>INPUT!S28</f>
        <v>ABS</v>
      </c>
      <c r="P28" s="202" t="str">
        <f>INPUT!U28</f>
        <v>0051</v>
      </c>
      <c r="Q28" s="49" t="str">
        <f>INPUT!W28</f>
        <v>ABS</v>
      </c>
      <c r="R28" s="49" t="str">
        <f>INPUT!Y28</f>
        <v>ABS</v>
      </c>
      <c r="S28" s="49" t="str">
        <f>INPUT!AA28</f>
        <v>ABS</v>
      </c>
      <c r="T28" s="38" t="str">
        <f>INPUT!Z28</f>
        <v>ABS</v>
      </c>
      <c r="U28" s="208">
        <f>INPUT!AB28</f>
        <v>0</v>
      </c>
      <c r="V28" s="49" t="str">
        <f>INPUT!AD28</f>
        <v>ABS</v>
      </c>
      <c r="W28" s="49" t="str">
        <f>INPUT!AF28</f>
        <v>ABS</v>
      </c>
      <c r="X28" s="49" t="str">
        <f>INPUT!AH28</f>
        <v>ABS</v>
      </c>
      <c r="Y28" s="46" t="str">
        <f>INPUT!AG28</f>
        <v>ABS</v>
      </c>
      <c r="Z28" s="208">
        <f>INPUT!AI28</f>
        <v>0</v>
      </c>
      <c r="AA28" s="49" t="str">
        <f>INPUT!AK28</f>
        <v>ABS</v>
      </c>
      <c r="AB28" s="49" t="str">
        <f>INPUT!AM28</f>
        <v>ABS</v>
      </c>
      <c r="AC28" s="49" t="str">
        <f>INPUT!AO28</f>
        <v>ABS</v>
      </c>
      <c r="AD28" s="46" t="str">
        <f>INPUT!AN28</f>
        <v>ABS</v>
      </c>
      <c r="AE28" s="203">
        <f>INPUT!AP28</f>
        <v>0</v>
      </c>
      <c r="AF28" s="49" t="str">
        <f>INPUT!AR28</f>
        <v>ABS</v>
      </c>
      <c r="AG28" s="49" t="str">
        <f>INPUT!AT28</f>
        <v>ABS</v>
      </c>
      <c r="AH28" s="49" t="str">
        <f>INPUT!AV28</f>
        <v>ABS</v>
      </c>
      <c r="AI28" s="38" t="str">
        <f>INPUT!AU28</f>
        <v>ABS</v>
      </c>
      <c r="AJ28" s="40" t="str">
        <f t="shared" si="0"/>
        <v>-</v>
      </c>
      <c r="AK28" s="213">
        <f>INPUT!AX28</f>
        <v>0</v>
      </c>
      <c r="AL28" s="49" t="str">
        <f>INPUT!AZ28</f>
        <v>ABS</v>
      </c>
      <c r="AM28" s="49" t="str">
        <f>INPUT!BB28</f>
        <v>ABS</v>
      </c>
      <c r="AN28" s="49" t="str">
        <f>INPUT!BD28</f>
        <v>ABS</v>
      </c>
      <c r="AO28" s="212" t="str">
        <f>INPUT!BC28</f>
        <v>ABS</v>
      </c>
      <c r="AP28" s="41" t="str">
        <f t="shared" si="1"/>
        <v/>
      </c>
      <c r="AQ28" s="41" t="str">
        <f t="shared" si="2"/>
        <v>ABS</v>
      </c>
      <c r="AR28" s="41" t="str">
        <f t="shared" si="3"/>
        <v/>
      </c>
      <c r="AS28" s="30"/>
      <c r="AT28" s="30"/>
      <c r="AU28" s="30"/>
      <c r="AV28" s="30"/>
      <c r="AX28" s="114" t="str">
        <f>AJ28&amp;"_"&amp;COUNTIF($AJ$5:AJ28,AJ28)</f>
        <v>-_18</v>
      </c>
    </row>
    <row r="29" spans="1:50">
      <c r="A29" s="112"/>
      <c r="B29" s="44">
        <f>INPUT!F29</f>
        <v>0</v>
      </c>
      <c r="C29" s="50">
        <f>INPUT!C29</f>
        <v>0</v>
      </c>
      <c r="D29" s="130">
        <f>INPUT!D29</f>
        <v>0</v>
      </c>
      <c r="E29" s="51">
        <f>INPUT!E29</f>
        <v>0</v>
      </c>
      <c r="F29" s="39" t="str">
        <f>INPUT!G29</f>
        <v>0011</v>
      </c>
      <c r="G29" s="37" t="str">
        <f>INPUT!I29</f>
        <v>ABS</v>
      </c>
      <c r="H29" s="37" t="str">
        <f>INPUT!K29</f>
        <v>ABS</v>
      </c>
      <c r="I29" s="37" t="str">
        <f>INPUT!M29</f>
        <v>ABS</v>
      </c>
      <c r="J29" s="38" t="str">
        <f>INPUT!L29</f>
        <v>ABS</v>
      </c>
      <c r="K29" s="205" t="str">
        <f>INPUT!N29</f>
        <v>0031</v>
      </c>
      <c r="L29" s="37" t="str">
        <f>INPUT!P29</f>
        <v>ABS</v>
      </c>
      <c r="M29" s="37" t="str">
        <f>INPUT!R29</f>
        <v>ABS</v>
      </c>
      <c r="N29" s="37" t="str">
        <f>INPUT!T29</f>
        <v>ABS</v>
      </c>
      <c r="O29" s="46" t="str">
        <f>INPUT!S29</f>
        <v>ABS</v>
      </c>
      <c r="P29" s="202" t="str">
        <f>INPUT!U29</f>
        <v>0051</v>
      </c>
      <c r="Q29" s="37" t="str">
        <f>INPUT!W29</f>
        <v>ABS</v>
      </c>
      <c r="R29" s="37" t="str">
        <f>INPUT!Y29</f>
        <v>ABS</v>
      </c>
      <c r="S29" s="37" t="str">
        <f>INPUT!AA29</f>
        <v>ABS</v>
      </c>
      <c r="T29" s="38" t="str">
        <f>INPUT!Z29</f>
        <v>ABS</v>
      </c>
      <c r="U29" s="208">
        <f>INPUT!AB29</f>
        <v>0</v>
      </c>
      <c r="V29" s="37" t="str">
        <f>INPUT!AD29</f>
        <v>ABS</v>
      </c>
      <c r="W29" s="37" t="str">
        <f>INPUT!AF29</f>
        <v>ABS</v>
      </c>
      <c r="X29" s="37" t="str">
        <f>INPUT!AH29</f>
        <v>ABS</v>
      </c>
      <c r="Y29" s="46" t="str">
        <f>INPUT!AG29</f>
        <v>ABS</v>
      </c>
      <c r="Z29" s="208">
        <f>INPUT!AI29</f>
        <v>0</v>
      </c>
      <c r="AA29" s="37" t="str">
        <f>INPUT!AK29</f>
        <v>ABS</v>
      </c>
      <c r="AB29" s="37" t="str">
        <f>INPUT!AM29</f>
        <v>ABS</v>
      </c>
      <c r="AC29" s="37" t="str">
        <f>INPUT!AO29</f>
        <v>ABS</v>
      </c>
      <c r="AD29" s="46" t="str">
        <f>INPUT!AN29</f>
        <v>ABS</v>
      </c>
      <c r="AE29" s="203">
        <f>INPUT!AP29</f>
        <v>0</v>
      </c>
      <c r="AF29" s="37" t="str">
        <f>INPUT!AR29</f>
        <v>ABS</v>
      </c>
      <c r="AG29" s="37" t="str">
        <f>INPUT!AT29</f>
        <v>ABS</v>
      </c>
      <c r="AH29" s="37" t="str">
        <f>INPUT!AV29</f>
        <v>ABS</v>
      </c>
      <c r="AI29" s="38" t="str">
        <f>INPUT!AU29</f>
        <v>ABS</v>
      </c>
      <c r="AJ29" s="40" t="str">
        <f t="shared" si="0"/>
        <v>-</v>
      </c>
      <c r="AK29" s="211">
        <f>INPUT!AX29</f>
        <v>0</v>
      </c>
      <c r="AL29" s="37" t="str">
        <f>INPUT!AZ29</f>
        <v>ABS</v>
      </c>
      <c r="AM29" s="37" t="str">
        <f>INPUT!BB29</f>
        <v>ABS</v>
      </c>
      <c r="AN29" s="37" t="str">
        <f>INPUT!BD29</f>
        <v>ABS</v>
      </c>
      <c r="AO29" s="212" t="str">
        <f>INPUT!BC29</f>
        <v>ABS</v>
      </c>
      <c r="AP29" s="41" t="str">
        <f t="shared" si="1"/>
        <v/>
      </c>
      <c r="AQ29" s="41" t="str">
        <f t="shared" si="2"/>
        <v>ABS</v>
      </c>
      <c r="AR29" s="41" t="str">
        <f t="shared" si="3"/>
        <v/>
      </c>
      <c r="AS29" s="30"/>
      <c r="AT29" s="30"/>
      <c r="AU29" s="30"/>
      <c r="AV29" s="30"/>
      <c r="AX29" s="114" t="str">
        <f>AJ29&amp;"_"&amp;COUNTIF($AJ$5:AJ29,AJ29)</f>
        <v>-_19</v>
      </c>
    </row>
    <row r="30" spans="1:50">
      <c r="A30" s="112"/>
      <c r="B30" s="44">
        <f>INPUT!F30</f>
        <v>0</v>
      </c>
      <c r="C30" s="50">
        <f>INPUT!C30</f>
        <v>0</v>
      </c>
      <c r="D30" s="130">
        <f>INPUT!D30</f>
        <v>0</v>
      </c>
      <c r="E30" s="51">
        <f>INPUT!E30</f>
        <v>0</v>
      </c>
      <c r="F30" s="39" t="str">
        <f>INPUT!G30</f>
        <v>0011</v>
      </c>
      <c r="G30" s="37" t="str">
        <f>INPUT!I30</f>
        <v>ABS</v>
      </c>
      <c r="H30" s="37" t="str">
        <f>INPUT!K30</f>
        <v>ABS</v>
      </c>
      <c r="I30" s="37" t="str">
        <f>INPUT!M30</f>
        <v>ABS</v>
      </c>
      <c r="J30" s="38" t="str">
        <f>INPUT!L30</f>
        <v>ABS</v>
      </c>
      <c r="K30" s="205" t="str">
        <f>INPUT!N30</f>
        <v>0031</v>
      </c>
      <c r="L30" s="37" t="str">
        <f>INPUT!P30</f>
        <v>ABS</v>
      </c>
      <c r="M30" s="37" t="str">
        <f>INPUT!R30</f>
        <v>ABS</v>
      </c>
      <c r="N30" s="37" t="str">
        <f>INPUT!T30</f>
        <v>ABS</v>
      </c>
      <c r="O30" s="46" t="str">
        <f>INPUT!S30</f>
        <v>ABS</v>
      </c>
      <c r="P30" s="202" t="str">
        <f>INPUT!U30</f>
        <v>0051</v>
      </c>
      <c r="Q30" s="37" t="str">
        <f>INPUT!W30</f>
        <v>ABS</v>
      </c>
      <c r="R30" s="37" t="str">
        <f>INPUT!Y30</f>
        <v>ABS</v>
      </c>
      <c r="S30" s="37" t="str">
        <f>INPUT!AA30</f>
        <v>ABS</v>
      </c>
      <c r="T30" s="38" t="str">
        <f>INPUT!Z30</f>
        <v>ABS</v>
      </c>
      <c r="U30" s="208">
        <f>INPUT!AB30</f>
        <v>0</v>
      </c>
      <c r="V30" s="37" t="str">
        <f>INPUT!AD30</f>
        <v>ABS</v>
      </c>
      <c r="W30" s="37" t="str">
        <f>INPUT!AF30</f>
        <v>ABS</v>
      </c>
      <c r="X30" s="37" t="str">
        <f>INPUT!AH30</f>
        <v>ABS</v>
      </c>
      <c r="Y30" s="46" t="str">
        <f>INPUT!AG30</f>
        <v>ABS</v>
      </c>
      <c r="Z30" s="208">
        <f>INPUT!AI30</f>
        <v>0</v>
      </c>
      <c r="AA30" s="37" t="str">
        <f>INPUT!AK30</f>
        <v>ABS</v>
      </c>
      <c r="AB30" s="37" t="str">
        <f>INPUT!AM30</f>
        <v>ABS</v>
      </c>
      <c r="AC30" s="37" t="str">
        <f>INPUT!AO30</f>
        <v>ABS</v>
      </c>
      <c r="AD30" s="46" t="str">
        <f>INPUT!AN30</f>
        <v>ABS</v>
      </c>
      <c r="AE30" s="203">
        <f>INPUT!AP30</f>
        <v>0</v>
      </c>
      <c r="AF30" s="37" t="str">
        <f>INPUT!AR30</f>
        <v>ABS</v>
      </c>
      <c r="AG30" s="37" t="str">
        <f>INPUT!AT30</f>
        <v>ABS</v>
      </c>
      <c r="AH30" s="37" t="str">
        <f>INPUT!AV30</f>
        <v>ABS</v>
      </c>
      <c r="AI30" s="38" t="str">
        <f>INPUT!AU30</f>
        <v>ABS</v>
      </c>
      <c r="AJ30" s="40" t="str">
        <f t="shared" si="0"/>
        <v>-</v>
      </c>
      <c r="AK30" s="211">
        <f>INPUT!AX30</f>
        <v>0</v>
      </c>
      <c r="AL30" s="37" t="str">
        <f>INPUT!AZ30</f>
        <v>ABS</v>
      </c>
      <c r="AM30" s="37" t="str">
        <f>INPUT!BB30</f>
        <v>ABS</v>
      </c>
      <c r="AN30" s="37" t="str">
        <f>INPUT!BD30</f>
        <v>ABS</v>
      </c>
      <c r="AO30" s="212" t="str">
        <f>INPUT!BC30</f>
        <v>ABS</v>
      </c>
      <c r="AP30" s="41" t="str">
        <f t="shared" si="1"/>
        <v/>
      </c>
      <c r="AQ30" s="41" t="str">
        <f t="shared" si="2"/>
        <v>ABS</v>
      </c>
      <c r="AR30" s="41" t="str">
        <f t="shared" si="3"/>
        <v/>
      </c>
      <c r="AS30" s="30"/>
      <c r="AT30" s="30"/>
      <c r="AU30" s="30"/>
      <c r="AV30" s="30"/>
      <c r="AX30" s="114" t="str">
        <f>AJ30&amp;"_"&amp;COUNTIF($AJ$5:AJ30,AJ30)</f>
        <v>-_20</v>
      </c>
    </row>
    <row r="31" spans="1:50">
      <c r="A31" s="112"/>
      <c r="B31" s="44">
        <f>INPUT!F31</f>
        <v>0</v>
      </c>
      <c r="C31" s="50">
        <f>INPUT!C31</f>
        <v>0</v>
      </c>
      <c r="D31" s="130">
        <f>INPUT!D31</f>
        <v>0</v>
      </c>
      <c r="E31" s="51">
        <f>INPUT!E31</f>
        <v>0</v>
      </c>
      <c r="F31" s="39" t="str">
        <f>INPUT!G31</f>
        <v>0011</v>
      </c>
      <c r="G31" s="37" t="str">
        <f>INPUT!I31</f>
        <v>ABS</v>
      </c>
      <c r="H31" s="37" t="str">
        <f>INPUT!K31</f>
        <v>ABS</v>
      </c>
      <c r="I31" s="37" t="str">
        <f>INPUT!M31</f>
        <v>ABS</v>
      </c>
      <c r="J31" s="38" t="str">
        <f>INPUT!L31</f>
        <v>ABS</v>
      </c>
      <c r="K31" s="205" t="str">
        <f>INPUT!N31</f>
        <v>0031</v>
      </c>
      <c r="L31" s="37" t="str">
        <f>INPUT!P31</f>
        <v>ABS</v>
      </c>
      <c r="M31" s="37" t="str">
        <f>INPUT!R31</f>
        <v>ABS</v>
      </c>
      <c r="N31" s="37" t="str">
        <f>INPUT!T31</f>
        <v>ABS</v>
      </c>
      <c r="O31" s="46" t="str">
        <f>INPUT!S31</f>
        <v>ABS</v>
      </c>
      <c r="P31" s="202" t="str">
        <f>INPUT!U31</f>
        <v>0051</v>
      </c>
      <c r="Q31" s="37" t="str">
        <f>INPUT!W31</f>
        <v>ABS</v>
      </c>
      <c r="R31" s="37" t="str">
        <f>INPUT!Y31</f>
        <v>ABS</v>
      </c>
      <c r="S31" s="37" t="str">
        <f>INPUT!AA31</f>
        <v>ABS</v>
      </c>
      <c r="T31" s="38" t="str">
        <f>INPUT!Z31</f>
        <v>ABS</v>
      </c>
      <c r="U31" s="208">
        <f>INPUT!AB31</f>
        <v>0</v>
      </c>
      <c r="V31" s="37" t="str">
        <f>INPUT!AD31</f>
        <v>ABS</v>
      </c>
      <c r="W31" s="37" t="str">
        <f>INPUT!AF31</f>
        <v>ABS</v>
      </c>
      <c r="X31" s="37" t="str">
        <f>INPUT!AH31</f>
        <v>ABS</v>
      </c>
      <c r="Y31" s="46" t="str">
        <f>INPUT!AG31</f>
        <v>ABS</v>
      </c>
      <c r="Z31" s="208">
        <f>INPUT!AI31</f>
        <v>0</v>
      </c>
      <c r="AA31" s="37" t="str">
        <f>INPUT!AK31</f>
        <v>ABS</v>
      </c>
      <c r="AB31" s="37" t="str">
        <f>INPUT!AM31</f>
        <v>ABS</v>
      </c>
      <c r="AC31" s="37" t="str">
        <f>INPUT!AO31</f>
        <v>ABS</v>
      </c>
      <c r="AD31" s="46" t="str">
        <f>INPUT!AN31</f>
        <v>ABS</v>
      </c>
      <c r="AE31" s="203">
        <f>INPUT!AP31</f>
        <v>0</v>
      </c>
      <c r="AF31" s="37" t="str">
        <f>INPUT!AR31</f>
        <v>ABS</v>
      </c>
      <c r="AG31" s="37" t="str">
        <f>INPUT!AT31</f>
        <v>ABS</v>
      </c>
      <c r="AH31" s="37" t="str">
        <f>INPUT!AV31</f>
        <v>ABS</v>
      </c>
      <c r="AI31" s="38" t="str">
        <f>INPUT!AU31</f>
        <v>ABS</v>
      </c>
      <c r="AJ31" s="40" t="str">
        <f t="shared" si="0"/>
        <v>-</v>
      </c>
      <c r="AK31" s="211">
        <f>INPUT!AX31</f>
        <v>0</v>
      </c>
      <c r="AL31" s="37" t="str">
        <f>INPUT!AZ31</f>
        <v>ABS</v>
      </c>
      <c r="AM31" s="37" t="str">
        <f>INPUT!BB31</f>
        <v>ABS</v>
      </c>
      <c r="AN31" s="37" t="str">
        <f>INPUT!BD31</f>
        <v>ABS</v>
      </c>
      <c r="AO31" s="212" t="str">
        <f>INPUT!BC31</f>
        <v>ABS</v>
      </c>
      <c r="AP31" s="41" t="str">
        <f t="shared" si="1"/>
        <v/>
      </c>
      <c r="AQ31" s="41" t="str">
        <f t="shared" si="2"/>
        <v>ABS</v>
      </c>
      <c r="AR31" s="41" t="str">
        <f t="shared" si="3"/>
        <v/>
      </c>
      <c r="AS31" s="30"/>
      <c r="AT31" s="30"/>
      <c r="AU31" s="30"/>
      <c r="AV31" s="30"/>
      <c r="AX31" s="114" t="str">
        <f>AJ31&amp;"_"&amp;COUNTIF($AJ$5:AJ31,AJ31)</f>
        <v>-_21</v>
      </c>
    </row>
    <row r="32" spans="1:50">
      <c r="A32" s="112"/>
      <c r="B32" s="44">
        <f>INPUT!F32</f>
        <v>0</v>
      </c>
      <c r="C32" s="50">
        <f>INPUT!C32</f>
        <v>0</v>
      </c>
      <c r="D32" s="130">
        <f>INPUT!D32</f>
        <v>0</v>
      </c>
      <c r="E32" s="51">
        <f>INPUT!E32</f>
        <v>0</v>
      </c>
      <c r="F32" s="39" t="str">
        <f>INPUT!G32</f>
        <v>0011</v>
      </c>
      <c r="G32" s="37" t="str">
        <f>INPUT!I32</f>
        <v>ABS</v>
      </c>
      <c r="H32" s="37" t="str">
        <f>INPUT!K32</f>
        <v>ABS</v>
      </c>
      <c r="I32" s="37" t="str">
        <f>INPUT!M32</f>
        <v>ABS</v>
      </c>
      <c r="J32" s="38" t="str">
        <f>INPUT!L32</f>
        <v>ABS</v>
      </c>
      <c r="K32" s="205" t="str">
        <f>INPUT!N32</f>
        <v>0031</v>
      </c>
      <c r="L32" s="37" t="str">
        <f>INPUT!P32</f>
        <v>ABS</v>
      </c>
      <c r="M32" s="37" t="str">
        <f>INPUT!R32</f>
        <v>ABS</v>
      </c>
      <c r="N32" s="37" t="str">
        <f>INPUT!T32</f>
        <v>ABS</v>
      </c>
      <c r="O32" s="46" t="str">
        <f>INPUT!S32</f>
        <v>ABS</v>
      </c>
      <c r="P32" s="202" t="str">
        <f>INPUT!U32</f>
        <v>0051</v>
      </c>
      <c r="Q32" s="37" t="str">
        <f>INPUT!W32</f>
        <v>ABS</v>
      </c>
      <c r="R32" s="37" t="str">
        <f>INPUT!Y32</f>
        <v>ABS</v>
      </c>
      <c r="S32" s="37" t="str">
        <f>INPUT!AA32</f>
        <v>ABS</v>
      </c>
      <c r="T32" s="38" t="str">
        <f>INPUT!Z32</f>
        <v>ABS</v>
      </c>
      <c r="U32" s="208">
        <f>INPUT!AB32</f>
        <v>0</v>
      </c>
      <c r="V32" s="37" t="str">
        <f>INPUT!AD32</f>
        <v>ABS</v>
      </c>
      <c r="W32" s="37" t="str">
        <f>INPUT!AF32</f>
        <v>ABS</v>
      </c>
      <c r="X32" s="37" t="str">
        <f>INPUT!AH32</f>
        <v>ABS</v>
      </c>
      <c r="Y32" s="46" t="str">
        <f>INPUT!AG32</f>
        <v>ABS</v>
      </c>
      <c r="Z32" s="208">
        <f>INPUT!AI32</f>
        <v>0</v>
      </c>
      <c r="AA32" s="37" t="str">
        <f>INPUT!AK32</f>
        <v>ABS</v>
      </c>
      <c r="AB32" s="37" t="str">
        <f>INPUT!AM32</f>
        <v>ABS</v>
      </c>
      <c r="AC32" s="37" t="str">
        <f>INPUT!AO32</f>
        <v>ABS</v>
      </c>
      <c r="AD32" s="46" t="str">
        <f>INPUT!AN32</f>
        <v>ABS</v>
      </c>
      <c r="AE32" s="203">
        <f>INPUT!AP32</f>
        <v>0</v>
      </c>
      <c r="AF32" s="37" t="str">
        <f>INPUT!AR32</f>
        <v>ABS</v>
      </c>
      <c r="AG32" s="37" t="str">
        <f>INPUT!AT32</f>
        <v>ABS</v>
      </c>
      <c r="AH32" s="37" t="str">
        <f>INPUT!AV32</f>
        <v>ABS</v>
      </c>
      <c r="AI32" s="38" t="str">
        <f>INPUT!AU32</f>
        <v>ABS</v>
      </c>
      <c r="AJ32" s="40" t="str">
        <f t="shared" si="0"/>
        <v>-</v>
      </c>
      <c r="AK32" s="211">
        <f>INPUT!AX32</f>
        <v>0</v>
      </c>
      <c r="AL32" s="37" t="str">
        <f>INPUT!AZ32</f>
        <v>ABS</v>
      </c>
      <c r="AM32" s="37" t="str">
        <f>INPUT!BB32</f>
        <v>ABS</v>
      </c>
      <c r="AN32" s="37" t="str">
        <f>INPUT!BD32</f>
        <v>ABS</v>
      </c>
      <c r="AO32" s="212" t="str">
        <f>INPUT!BC32</f>
        <v>ABS</v>
      </c>
      <c r="AP32" s="41" t="str">
        <f t="shared" si="1"/>
        <v/>
      </c>
      <c r="AQ32" s="41" t="str">
        <f t="shared" si="2"/>
        <v>ABS</v>
      </c>
      <c r="AR32" s="41" t="str">
        <f t="shared" si="3"/>
        <v/>
      </c>
      <c r="AS32" s="30"/>
      <c r="AT32" s="30"/>
      <c r="AU32" s="30"/>
      <c r="AV32" s="30"/>
      <c r="AX32" s="114" t="str">
        <f>AJ32&amp;"_"&amp;COUNTIF($AJ$5:AJ32,AJ32)</f>
        <v>-_22</v>
      </c>
    </row>
    <row r="33" spans="1:50">
      <c r="A33" s="112"/>
      <c r="B33" s="44">
        <f>INPUT!F33</f>
        <v>0</v>
      </c>
      <c r="C33" s="50">
        <f>INPUT!C33</f>
        <v>0</v>
      </c>
      <c r="D33" s="130">
        <f>INPUT!D33</f>
        <v>0</v>
      </c>
      <c r="E33" s="51">
        <f>INPUT!E33</f>
        <v>0</v>
      </c>
      <c r="F33" s="39" t="str">
        <f>INPUT!G33</f>
        <v>0011</v>
      </c>
      <c r="G33" s="37" t="str">
        <f>INPUT!I33</f>
        <v>ABS</v>
      </c>
      <c r="H33" s="37" t="str">
        <f>INPUT!K33</f>
        <v>ABS</v>
      </c>
      <c r="I33" s="37" t="str">
        <f>INPUT!M33</f>
        <v>ABS</v>
      </c>
      <c r="J33" s="38" t="str">
        <f>INPUT!L33</f>
        <v>ABS</v>
      </c>
      <c r="K33" s="205" t="str">
        <f>INPUT!N33</f>
        <v>0031</v>
      </c>
      <c r="L33" s="37" t="str">
        <f>INPUT!P33</f>
        <v>ABS</v>
      </c>
      <c r="M33" s="37" t="str">
        <f>INPUT!R33</f>
        <v>ABS</v>
      </c>
      <c r="N33" s="37" t="str">
        <f>INPUT!T33</f>
        <v>ABS</v>
      </c>
      <c r="O33" s="46" t="str">
        <f>INPUT!S33</f>
        <v>ABS</v>
      </c>
      <c r="P33" s="202" t="str">
        <f>INPUT!U33</f>
        <v>0051</v>
      </c>
      <c r="Q33" s="37" t="str">
        <f>INPUT!W33</f>
        <v>ABS</v>
      </c>
      <c r="R33" s="37" t="str">
        <f>INPUT!Y33</f>
        <v>ABS</v>
      </c>
      <c r="S33" s="37" t="str">
        <f>INPUT!AA33</f>
        <v>ABS</v>
      </c>
      <c r="T33" s="38" t="str">
        <f>INPUT!Z33</f>
        <v>ABS</v>
      </c>
      <c r="U33" s="208">
        <f>INPUT!AB33</f>
        <v>0</v>
      </c>
      <c r="V33" s="37" t="str">
        <f>INPUT!AD33</f>
        <v>ABS</v>
      </c>
      <c r="W33" s="37" t="str">
        <f>INPUT!AF33</f>
        <v>ABS</v>
      </c>
      <c r="X33" s="37" t="str">
        <f>INPUT!AH33</f>
        <v>ABS</v>
      </c>
      <c r="Y33" s="46" t="str">
        <f>INPUT!AG33</f>
        <v>ABS</v>
      </c>
      <c r="Z33" s="208">
        <f>INPUT!AI33</f>
        <v>0</v>
      </c>
      <c r="AA33" s="37" t="str">
        <f>INPUT!AK33</f>
        <v>ABS</v>
      </c>
      <c r="AB33" s="37" t="str">
        <f>INPUT!AM33</f>
        <v>ABS</v>
      </c>
      <c r="AC33" s="37" t="str">
        <f>INPUT!AO33</f>
        <v>ABS</v>
      </c>
      <c r="AD33" s="46" t="str">
        <f>INPUT!AN33</f>
        <v>ABS</v>
      </c>
      <c r="AE33" s="203">
        <f>INPUT!AP33</f>
        <v>0</v>
      </c>
      <c r="AF33" s="37" t="str">
        <f>INPUT!AR33</f>
        <v>ABS</v>
      </c>
      <c r="AG33" s="37" t="str">
        <f>INPUT!AT33</f>
        <v>ABS</v>
      </c>
      <c r="AH33" s="37" t="str">
        <f>INPUT!AV33</f>
        <v>ABS</v>
      </c>
      <c r="AI33" s="38" t="str">
        <f>INPUT!AU33</f>
        <v>ABS</v>
      </c>
      <c r="AJ33" s="40" t="str">
        <f t="shared" si="0"/>
        <v>-</v>
      </c>
      <c r="AK33" s="211">
        <f>INPUT!AX33</f>
        <v>0</v>
      </c>
      <c r="AL33" s="37" t="str">
        <f>INPUT!AZ33</f>
        <v>ABS</v>
      </c>
      <c r="AM33" s="37" t="str">
        <f>INPUT!BB33</f>
        <v>ABS</v>
      </c>
      <c r="AN33" s="37" t="str">
        <f>INPUT!BD33</f>
        <v>ABS</v>
      </c>
      <c r="AO33" s="212" t="str">
        <f>INPUT!BC33</f>
        <v>ABS</v>
      </c>
      <c r="AP33" s="41" t="str">
        <f t="shared" si="1"/>
        <v/>
      </c>
      <c r="AQ33" s="41" t="str">
        <f t="shared" si="2"/>
        <v>ABS</v>
      </c>
      <c r="AR33" s="41" t="str">
        <f t="shared" si="3"/>
        <v/>
      </c>
      <c r="AS33" s="30"/>
      <c r="AT33" s="30"/>
      <c r="AU33" s="30"/>
      <c r="AV33" s="30"/>
      <c r="AX33" s="114" t="str">
        <f>AJ33&amp;"_"&amp;COUNTIF($AJ$5:AJ33,AJ33)</f>
        <v>-_23</v>
      </c>
    </row>
    <row r="34" spans="1:50">
      <c r="A34" s="112"/>
      <c r="B34" s="44">
        <f>INPUT!F34</f>
        <v>0</v>
      </c>
      <c r="C34" s="50">
        <f>INPUT!C34</f>
        <v>0</v>
      </c>
      <c r="D34" s="130">
        <f>INPUT!D34</f>
        <v>0</v>
      </c>
      <c r="E34" s="51">
        <f>INPUT!E34</f>
        <v>0</v>
      </c>
      <c r="F34" s="39" t="str">
        <f>INPUT!G34</f>
        <v>0011</v>
      </c>
      <c r="G34" s="37" t="str">
        <f>INPUT!I34</f>
        <v>ABS</v>
      </c>
      <c r="H34" s="37" t="str">
        <f>INPUT!K34</f>
        <v>ABS</v>
      </c>
      <c r="I34" s="37" t="str">
        <f>INPUT!M34</f>
        <v>ABS</v>
      </c>
      <c r="J34" s="38" t="str">
        <f>INPUT!L34</f>
        <v>ABS</v>
      </c>
      <c r="K34" s="205" t="str">
        <f>INPUT!N34</f>
        <v>0031</v>
      </c>
      <c r="L34" s="37" t="str">
        <f>INPUT!P34</f>
        <v>ABS</v>
      </c>
      <c r="M34" s="37" t="str">
        <f>INPUT!R34</f>
        <v>ABS</v>
      </c>
      <c r="N34" s="37" t="str">
        <f>INPUT!T34</f>
        <v>ABS</v>
      </c>
      <c r="O34" s="46" t="str">
        <f>INPUT!S34</f>
        <v>ABS</v>
      </c>
      <c r="P34" s="202" t="str">
        <f>INPUT!U34</f>
        <v>0051</v>
      </c>
      <c r="Q34" s="37" t="str">
        <f>INPUT!W34</f>
        <v>ABS</v>
      </c>
      <c r="R34" s="37" t="str">
        <f>INPUT!Y34</f>
        <v>ABS</v>
      </c>
      <c r="S34" s="37" t="str">
        <f>INPUT!AA34</f>
        <v>ABS</v>
      </c>
      <c r="T34" s="38" t="str">
        <f>INPUT!Z34</f>
        <v>ABS</v>
      </c>
      <c r="U34" s="208">
        <f>INPUT!AB34</f>
        <v>0</v>
      </c>
      <c r="V34" s="37" t="str">
        <f>INPUT!AD34</f>
        <v>ABS</v>
      </c>
      <c r="W34" s="37" t="str">
        <f>INPUT!AF34</f>
        <v>ABS</v>
      </c>
      <c r="X34" s="37" t="str">
        <f>INPUT!AH34</f>
        <v>ABS</v>
      </c>
      <c r="Y34" s="46" t="str">
        <f>INPUT!AG34</f>
        <v>ABS</v>
      </c>
      <c r="Z34" s="208">
        <f>INPUT!AI34</f>
        <v>0</v>
      </c>
      <c r="AA34" s="37" t="str">
        <f>INPUT!AK34</f>
        <v>ABS</v>
      </c>
      <c r="AB34" s="37" t="str">
        <f>INPUT!AM34</f>
        <v>ABS</v>
      </c>
      <c r="AC34" s="37" t="str">
        <f>INPUT!AO34</f>
        <v>ABS</v>
      </c>
      <c r="AD34" s="46" t="str">
        <f>INPUT!AN34</f>
        <v>ABS</v>
      </c>
      <c r="AE34" s="203">
        <f>INPUT!AP34</f>
        <v>0</v>
      </c>
      <c r="AF34" s="37" t="str">
        <f>INPUT!AR34</f>
        <v>ABS</v>
      </c>
      <c r="AG34" s="37" t="str">
        <f>INPUT!AT34</f>
        <v>ABS</v>
      </c>
      <c r="AH34" s="37" t="str">
        <f>INPUT!AV34</f>
        <v>ABS</v>
      </c>
      <c r="AI34" s="38" t="str">
        <f>INPUT!AU34</f>
        <v>ABS</v>
      </c>
      <c r="AJ34" s="40" t="str">
        <f t="shared" si="0"/>
        <v>-</v>
      </c>
      <c r="AK34" s="211">
        <f>INPUT!AX34</f>
        <v>0</v>
      </c>
      <c r="AL34" s="37" t="str">
        <f>INPUT!AZ34</f>
        <v>ABS</v>
      </c>
      <c r="AM34" s="37" t="str">
        <f>INPUT!BB34</f>
        <v>ABS</v>
      </c>
      <c r="AN34" s="37" t="str">
        <f>INPUT!BD34</f>
        <v>ABS</v>
      </c>
      <c r="AO34" s="212" t="str">
        <f>INPUT!BC34</f>
        <v>ABS</v>
      </c>
      <c r="AP34" s="41" t="str">
        <f t="shared" si="1"/>
        <v/>
      </c>
      <c r="AQ34" s="41" t="str">
        <f t="shared" si="2"/>
        <v>ABS</v>
      </c>
      <c r="AR34" s="41" t="str">
        <f t="shared" si="3"/>
        <v/>
      </c>
      <c r="AS34" s="30"/>
      <c r="AT34" s="30"/>
      <c r="AU34" s="30"/>
      <c r="AV34" s="30"/>
      <c r="AX34" s="114" t="str">
        <f>AJ34&amp;"_"&amp;COUNTIF($AJ$5:AJ34,AJ34)</f>
        <v>-_24</v>
      </c>
    </row>
    <row r="35" spans="1:50">
      <c r="A35" s="112"/>
      <c r="B35" s="44">
        <f>INPUT!F35</f>
        <v>0</v>
      </c>
      <c r="C35" s="50">
        <f>INPUT!C35</f>
        <v>0</v>
      </c>
      <c r="D35" s="130">
        <f>INPUT!D35</f>
        <v>0</v>
      </c>
      <c r="E35" s="51">
        <f>INPUT!E35</f>
        <v>0</v>
      </c>
      <c r="F35" s="39" t="str">
        <f>INPUT!G35</f>
        <v>0011</v>
      </c>
      <c r="G35" s="37" t="str">
        <f>INPUT!I35</f>
        <v>ABS</v>
      </c>
      <c r="H35" s="37" t="str">
        <f>INPUT!K35</f>
        <v>ABS</v>
      </c>
      <c r="I35" s="37" t="str">
        <f>INPUT!M35</f>
        <v>ABS</v>
      </c>
      <c r="J35" s="38" t="str">
        <f>INPUT!L35</f>
        <v>ABS</v>
      </c>
      <c r="K35" s="205" t="str">
        <f>INPUT!N35</f>
        <v>0031</v>
      </c>
      <c r="L35" s="37" t="str">
        <f>INPUT!P35</f>
        <v>ABS</v>
      </c>
      <c r="M35" s="37" t="str">
        <f>INPUT!R35</f>
        <v>ABS</v>
      </c>
      <c r="N35" s="37" t="str">
        <f>INPUT!T35</f>
        <v>ABS</v>
      </c>
      <c r="O35" s="46" t="str">
        <f>INPUT!S35</f>
        <v>ABS</v>
      </c>
      <c r="P35" s="202" t="str">
        <f>INPUT!U35</f>
        <v>0051</v>
      </c>
      <c r="Q35" s="37" t="str">
        <f>INPUT!W35</f>
        <v>ABS</v>
      </c>
      <c r="R35" s="37" t="str">
        <f>INPUT!Y35</f>
        <v>ABS</v>
      </c>
      <c r="S35" s="37" t="str">
        <f>INPUT!AA35</f>
        <v>ABS</v>
      </c>
      <c r="T35" s="38" t="str">
        <f>INPUT!Z35</f>
        <v>ABS</v>
      </c>
      <c r="U35" s="209">
        <f>INPUT!AB35</f>
        <v>0</v>
      </c>
      <c r="V35" s="37" t="str">
        <f>INPUT!AD35</f>
        <v>ABS</v>
      </c>
      <c r="W35" s="37" t="str">
        <f>INPUT!AF35</f>
        <v>ABS</v>
      </c>
      <c r="X35" s="37" t="str">
        <f>INPUT!AH35</f>
        <v>ABS</v>
      </c>
      <c r="Y35" s="46" t="str">
        <f>INPUT!AG35</f>
        <v>ABS</v>
      </c>
      <c r="Z35" s="209">
        <f>INPUT!AI35</f>
        <v>0</v>
      </c>
      <c r="AA35" s="37" t="str">
        <f>INPUT!AK35</f>
        <v>ABS</v>
      </c>
      <c r="AB35" s="37" t="str">
        <f>INPUT!AM35</f>
        <v>ABS</v>
      </c>
      <c r="AC35" s="37" t="str">
        <f>INPUT!AO35</f>
        <v>ABS</v>
      </c>
      <c r="AD35" s="46" t="str">
        <f>INPUT!AN35</f>
        <v>ABS</v>
      </c>
      <c r="AE35" s="204">
        <f>INPUT!AP35</f>
        <v>0</v>
      </c>
      <c r="AF35" s="37" t="str">
        <f>INPUT!AR35</f>
        <v>ABS</v>
      </c>
      <c r="AG35" s="37" t="str">
        <f>INPUT!AT35</f>
        <v>ABS</v>
      </c>
      <c r="AH35" s="37" t="str">
        <f>INPUT!AV35</f>
        <v>ABS</v>
      </c>
      <c r="AI35" s="38" t="str">
        <f>INPUT!AU35</f>
        <v>ABS</v>
      </c>
      <c r="AJ35" s="40" t="str">
        <f t="shared" si="0"/>
        <v>-</v>
      </c>
      <c r="AK35" s="211">
        <f>INPUT!AX35</f>
        <v>0</v>
      </c>
      <c r="AL35" s="37" t="str">
        <f>INPUT!AZ35</f>
        <v>ABS</v>
      </c>
      <c r="AM35" s="37" t="str">
        <f>INPUT!BB35</f>
        <v>ABS</v>
      </c>
      <c r="AN35" s="37" t="str">
        <f>INPUT!BD35</f>
        <v>ABS</v>
      </c>
      <c r="AO35" s="212" t="str">
        <f>INPUT!BC35</f>
        <v>ABS</v>
      </c>
      <c r="AP35" s="41" t="str">
        <f t="shared" si="1"/>
        <v/>
      </c>
      <c r="AQ35" s="41" t="str">
        <f t="shared" si="2"/>
        <v>ABS</v>
      </c>
      <c r="AR35" s="41" t="str">
        <f t="shared" si="3"/>
        <v/>
      </c>
      <c r="AS35" s="30"/>
      <c r="AT35" s="30"/>
      <c r="AU35" s="30"/>
      <c r="AV35" s="30"/>
      <c r="AX35" s="114" t="str">
        <f>AJ35&amp;"_"&amp;COUNTIF($AJ$5:AJ35,AJ35)</f>
        <v>-_25</v>
      </c>
    </row>
    <row r="36" spans="1:50">
      <c r="A36" s="112"/>
      <c r="B36" s="44">
        <f>INPUT!F36</f>
        <v>0</v>
      </c>
      <c r="C36" s="50">
        <f>INPUT!C36</f>
        <v>0</v>
      </c>
      <c r="D36" s="130">
        <f>INPUT!D36</f>
        <v>0</v>
      </c>
      <c r="E36" s="51">
        <f>INPUT!E36</f>
        <v>0</v>
      </c>
      <c r="F36" s="39" t="str">
        <f>INPUT!G36</f>
        <v>0011</v>
      </c>
      <c r="G36" s="37" t="str">
        <f>INPUT!I36</f>
        <v>ABS</v>
      </c>
      <c r="H36" s="37" t="str">
        <f>INPUT!K36</f>
        <v>ABS</v>
      </c>
      <c r="I36" s="37" t="str">
        <f>INPUT!M36</f>
        <v>ABS</v>
      </c>
      <c r="J36" s="38" t="str">
        <f>INPUT!L36</f>
        <v>ABS</v>
      </c>
      <c r="K36" s="205" t="str">
        <f>INPUT!N36</f>
        <v>0031</v>
      </c>
      <c r="L36" s="37" t="str">
        <f>INPUT!P36</f>
        <v>ABS</v>
      </c>
      <c r="M36" s="37" t="str">
        <f>INPUT!R36</f>
        <v>ABS</v>
      </c>
      <c r="N36" s="37" t="str">
        <f>INPUT!T36</f>
        <v>ABS</v>
      </c>
      <c r="O36" s="46" t="str">
        <f>INPUT!S36</f>
        <v>ABS</v>
      </c>
      <c r="P36" s="202" t="str">
        <f>INPUT!U36</f>
        <v>0051</v>
      </c>
      <c r="Q36" s="37" t="str">
        <f>INPUT!W36</f>
        <v>ABS</v>
      </c>
      <c r="R36" s="37" t="str">
        <f>INPUT!Y36</f>
        <v>ABS</v>
      </c>
      <c r="S36" s="37" t="str">
        <f>INPUT!AA36</f>
        <v>ABS</v>
      </c>
      <c r="T36" s="38" t="str">
        <f>INPUT!Z36</f>
        <v>ABS</v>
      </c>
      <c r="U36" s="209">
        <f>INPUT!AB36</f>
        <v>0</v>
      </c>
      <c r="V36" s="37" t="str">
        <f>INPUT!AD36</f>
        <v>ABS</v>
      </c>
      <c r="W36" s="37" t="str">
        <f>INPUT!AF36</f>
        <v>ABS</v>
      </c>
      <c r="X36" s="37" t="str">
        <f>INPUT!AH36</f>
        <v>ABS</v>
      </c>
      <c r="Y36" s="46" t="str">
        <f>INPUT!AG36</f>
        <v>ABS</v>
      </c>
      <c r="Z36" s="209">
        <f>INPUT!AI36</f>
        <v>0</v>
      </c>
      <c r="AA36" s="37" t="str">
        <f>INPUT!AK36</f>
        <v>ABS</v>
      </c>
      <c r="AB36" s="37" t="str">
        <f>INPUT!AM36</f>
        <v>ABS</v>
      </c>
      <c r="AC36" s="37" t="str">
        <f>INPUT!AO36</f>
        <v>ABS</v>
      </c>
      <c r="AD36" s="46" t="str">
        <f>INPUT!AN36</f>
        <v>ABS</v>
      </c>
      <c r="AE36" s="204">
        <f>INPUT!AP36</f>
        <v>0</v>
      </c>
      <c r="AF36" s="37" t="str">
        <f>INPUT!AR36</f>
        <v>ABS</v>
      </c>
      <c r="AG36" s="37" t="str">
        <f>INPUT!AT36</f>
        <v>ABS</v>
      </c>
      <c r="AH36" s="37" t="str">
        <f>INPUT!AV36</f>
        <v>ABS</v>
      </c>
      <c r="AI36" s="38" t="str">
        <f>INPUT!AU36</f>
        <v>ABS</v>
      </c>
      <c r="AJ36" s="40" t="str">
        <f t="shared" si="0"/>
        <v>-</v>
      </c>
      <c r="AK36" s="211">
        <f>INPUT!AX36</f>
        <v>0</v>
      </c>
      <c r="AL36" s="37" t="str">
        <f>INPUT!AZ36</f>
        <v>ABS</v>
      </c>
      <c r="AM36" s="37" t="str">
        <f>INPUT!BB36</f>
        <v>ABS</v>
      </c>
      <c r="AN36" s="37" t="str">
        <f>INPUT!BD36</f>
        <v>ABS</v>
      </c>
      <c r="AO36" s="212" t="str">
        <f>INPUT!BC36</f>
        <v>ABS</v>
      </c>
      <c r="AP36" s="41" t="str">
        <f t="shared" si="1"/>
        <v/>
      </c>
      <c r="AQ36" s="41" t="str">
        <f t="shared" si="2"/>
        <v>ABS</v>
      </c>
      <c r="AR36" s="41" t="str">
        <f t="shared" si="3"/>
        <v/>
      </c>
      <c r="AS36" s="30"/>
      <c r="AT36" s="30"/>
      <c r="AU36" s="30"/>
      <c r="AV36" s="30"/>
      <c r="AX36" s="114" t="str">
        <f>AJ36&amp;"_"&amp;COUNTIF($AJ$5:AJ36,AJ36)</f>
        <v>-_26</v>
      </c>
    </row>
    <row r="37" spans="1:50">
      <c r="A37" s="112"/>
      <c r="B37" s="44">
        <f>INPUT!F37</f>
        <v>0</v>
      </c>
      <c r="C37" s="50">
        <f>INPUT!C37</f>
        <v>0</v>
      </c>
      <c r="D37" s="130">
        <f>INPUT!D37</f>
        <v>0</v>
      </c>
      <c r="E37" s="51">
        <f>INPUT!E37</f>
        <v>0</v>
      </c>
      <c r="F37" s="39" t="str">
        <f>INPUT!G37</f>
        <v>0011</v>
      </c>
      <c r="G37" s="37" t="str">
        <f>INPUT!I37</f>
        <v>ABS</v>
      </c>
      <c r="H37" s="37" t="str">
        <f>INPUT!K37</f>
        <v>ABS</v>
      </c>
      <c r="I37" s="37" t="str">
        <f>INPUT!M37</f>
        <v>ABS</v>
      </c>
      <c r="J37" s="38" t="str">
        <f>INPUT!L37</f>
        <v>ABS</v>
      </c>
      <c r="K37" s="205" t="str">
        <f>INPUT!N37</f>
        <v>0031</v>
      </c>
      <c r="L37" s="37" t="str">
        <f>INPUT!P37</f>
        <v>ABS</v>
      </c>
      <c r="M37" s="37" t="str">
        <f>INPUT!R37</f>
        <v>ABS</v>
      </c>
      <c r="N37" s="37" t="str">
        <f>INPUT!T37</f>
        <v>ABS</v>
      </c>
      <c r="O37" s="46" t="str">
        <f>INPUT!S37</f>
        <v>ABS</v>
      </c>
      <c r="P37" s="202" t="str">
        <f>INPUT!U37</f>
        <v>0051</v>
      </c>
      <c r="Q37" s="37" t="str">
        <f>INPUT!W37</f>
        <v>ABS</v>
      </c>
      <c r="R37" s="37" t="str">
        <f>INPUT!Y37</f>
        <v>ABS</v>
      </c>
      <c r="S37" s="37" t="str">
        <f>INPUT!AA37</f>
        <v>ABS</v>
      </c>
      <c r="T37" s="38" t="str">
        <f>INPUT!Z37</f>
        <v>ABS</v>
      </c>
      <c r="U37" s="209">
        <f>INPUT!AB37</f>
        <v>0</v>
      </c>
      <c r="V37" s="37" t="str">
        <f>INPUT!AD37</f>
        <v>ABS</v>
      </c>
      <c r="W37" s="37" t="str">
        <f>INPUT!AF37</f>
        <v>ABS</v>
      </c>
      <c r="X37" s="37" t="str">
        <f>INPUT!AH37</f>
        <v>ABS</v>
      </c>
      <c r="Y37" s="46" t="str">
        <f>INPUT!AG37</f>
        <v>ABS</v>
      </c>
      <c r="Z37" s="209">
        <f>INPUT!AI37</f>
        <v>0</v>
      </c>
      <c r="AA37" s="37" t="str">
        <f>INPUT!AK37</f>
        <v>ABS</v>
      </c>
      <c r="AB37" s="37" t="str">
        <f>INPUT!AM37</f>
        <v>ABS</v>
      </c>
      <c r="AC37" s="37" t="str">
        <f>INPUT!AO37</f>
        <v>ABS</v>
      </c>
      <c r="AD37" s="46" t="str">
        <f>INPUT!AN37</f>
        <v>ABS</v>
      </c>
      <c r="AE37" s="204">
        <f>INPUT!AP37</f>
        <v>0</v>
      </c>
      <c r="AF37" s="37" t="str">
        <f>INPUT!AR37</f>
        <v>ABS</v>
      </c>
      <c r="AG37" s="37" t="str">
        <f>INPUT!AT37</f>
        <v>ABS</v>
      </c>
      <c r="AH37" s="37" t="str">
        <f>INPUT!AV37</f>
        <v>ABS</v>
      </c>
      <c r="AI37" s="38" t="str">
        <f>INPUT!AU37</f>
        <v>ABS</v>
      </c>
      <c r="AJ37" s="40" t="str">
        <f t="shared" si="0"/>
        <v>-</v>
      </c>
      <c r="AK37" s="211">
        <f>INPUT!AX37</f>
        <v>0</v>
      </c>
      <c r="AL37" s="37" t="str">
        <f>INPUT!AZ37</f>
        <v>ABS</v>
      </c>
      <c r="AM37" s="37" t="str">
        <f>INPUT!BB37</f>
        <v>ABS</v>
      </c>
      <c r="AN37" s="37" t="str">
        <f>INPUT!BD37</f>
        <v>ABS</v>
      </c>
      <c r="AO37" s="212" t="str">
        <f>INPUT!BC37</f>
        <v>ABS</v>
      </c>
      <c r="AP37" s="41" t="str">
        <f t="shared" si="1"/>
        <v/>
      </c>
      <c r="AQ37" s="41" t="str">
        <f t="shared" si="2"/>
        <v>ABS</v>
      </c>
      <c r="AR37" s="41" t="str">
        <f t="shared" si="3"/>
        <v/>
      </c>
      <c r="AS37" s="30"/>
      <c r="AT37" s="30"/>
      <c r="AU37" s="30"/>
      <c r="AV37" s="30"/>
      <c r="AX37" s="114" t="str">
        <f>AJ37&amp;"_"&amp;COUNTIF($AJ$5:AJ37,AJ37)</f>
        <v>-_27</v>
      </c>
    </row>
    <row r="38" spans="1:50">
      <c r="A38" s="112"/>
      <c r="B38" s="44">
        <f>INPUT!F38</f>
        <v>0</v>
      </c>
      <c r="C38" s="50">
        <f>INPUT!C38</f>
        <v>0</v>
      </c>
      <c r="D38" s="130">
        <f>INPUT!D38</f>
        <v>0</v>
      </c>
      <c r="E38" s="51">
        <f>INPUT!E38</f>
        <v>0</v>
      </c>
      <c r="F38" s="39" t="str">
        <f>INPUT!G38</f>
        <v>0011</v>
      </c>
      <c r="G38" s="37" t="str">
        <f>INPUT!I38</f>
        <v>ABS</v>
      </c>
      <c r="H38" s="37" t="str">
        <f>INPUT!K38</f>
        <v>ABS</v>
      </c>
      <c r="I38" s="37" t="str">
        <f>INPUT!M38</f>
        <v>ABS</v>
      </c>
      <c r="J38" s="38" t="str">
        <f>INPUT!L38</f>
        <v>ABS</v>
      </c>
      <c r="K38" s="205" t="str">
        <f>INPUT!N38</f>
        <v>0031</v>
      </c>
      <c r="L38" s="37" t="str">
        <f>INPUT!P38</f>
        <v>ABS</v>
      </c>
      <c r="M38" s="37" t="str">
        <f>INPUT!R38</f>
        <v>ABS</v>
      </c>
      <c r="N38" s="37" t="str">
        <f>INPUT!T38</f>
        <v>ABS</v>
      </c>
      <c r="O38" s="46" t="str">
        <f>INPUT!S38</f>
        <v>ABS</v>
      </c>
      <c r="P38" s="202" t="str">
        <f>INPUT!U38</f>
        <v>0051</v>
      </c>
      <c r="Q38" s="37" t="str">
        <f>INPUT!W38</f>
        <v>ABS</v>
      </c>
      <c r="R38" s="37" t="str">
        <f>INPUT!Y38</f>
        <v>ABS</v>
      </c>
      <c r="S38" s="37" t="str">
        <f>INPUT!AA38</f>
        <v>ABS</v>
      </c>
      <c r="T38" s="38" t="str">
        <f>INPUT!Z38</f>
        <v>ABS</v>
      </c>
      <c r="U38" s="209">
        <f>INPUT!AB38</f>
        <v>0</v>
      </c>
      <c r="V38" s="37" t="str">
        <f>INPUT!AD38</f>
        <v>ABS</v>
      </c>
      <c r="W38" s="37" t="str">
        <f>INPUT!AF38</f>
        <v>ABS</v>
      </c>
      <c r="X38" s="37" t="str">
        <f>INPUT!AH38</f>
        <v>ABS</v>
      </c>
      <c r="Y38" s="46" t="str">
        <f>INPUT!AG38</f>
        <v>ABS</v>
      </c>
      <c r="Z38" s="209">
        <f>INPUT!AI38</f>
        <v>0</v>
      </c>
      <c r="AA38" s="37" t="str">
        <f>INPUT!AK38</f>
        <v>ABS</v>
      </c>
      <c r="AB38" s="37" t="str">
        <f>INPUT!AM38</f>
        <v>ABS</v>
      </c>
      <c r="AC38" s="37" t="str">
        <f>INPUT!AO38</f>
        <v>ABS</v>
      </c>
      <c r="AD38" s="46" t="str">
        <f>INPUT!AN38</f>
        <v>ABS</v>
      </c>
      <c r="AE38" s="204">
        <f>INPUT!AP38</f>
        <v>0</v>
      </c>
      <c r="AF38" s="37" t="str">
        <f>INPUT!AR38</f>
        <v>ABS</v>
      </c>
      <c r="AG38" s="37" t="str">
        <f>INPUT!AT38</f>
        <v>ABS</v>
      </c>
      <c r="AH38" s="37" t="str">
        <f>INPUT!AV38</f>
        <v>ABS</v>
      </c>
      <c r="AI38" s="38" t="str">
        <f>INPUT!AU38</f>
        <v>ABS</v>
      </c>
      <c r="AJ38" s="40" t="str">
        <f t="shared" si="0"/>
        <v>-</v>
      </c>
      <c r="AK38" s="211">
        <f>INPUT!AX38</f>
        <v>0</v>
      </c>
      <c r="AL38" s="37" t="str">
        <f>INPUT!AZ38</f>
        <v>ABS</v>
      </c>
      <c r="AM38" s="37" t="str">
        <f>INPUT!BB38</f>
        <v>ABS</v>
      </c>
      <c r="AN38" s="37" t="str">
        <f>INPUT!BD38</f>
        <v>ABS</v>
      </c>
      <c r="AO38" s="212" t="str">
        <f>INPUT!BC38</f>
        <v>ABS</v>
      </c>
      <c r="AP38" s="41" t="str">
        <f t="shared" si="1"/>
        <v/>
      </c>
      <c r="AQ38" s="41" t="str">
        <f t="shared" si="2"/>
        <v>ABS</v>
      </c>
      <c r="AR38" s="41" t="str">
        <f t="shared" si="3"/>
        <v/>
      </c>
      <c r="AS38" s="30"/>
      <c r="AT38" s="30"/>
      <c r="AU38" s="30"/>
      <c r="AV38" s="30"/>
      <c r="AX38" s="114" t="str">
        <f>AJ38&amp;"_"&amp;COUNTIF($AJ$5:AJ38,AJ38)</f>
        <v>-_28</v>
      </c>
    </row>
    <row r="39" spans="1:50">
      <c r="A39" s="112"/>
      <c r="B39" s="44">
        <f>INPUT!F39</f>
        <v>0</v>
      </c>
      <c r="C39" s="50">
        <f>INPUT!C39</f>
        <v>0</v>
      </c>
      <c r="D39" s="130">
        <f>INPUT!D39</f>
        <v>0</v>
      </c>
      <c r="E39" s="51">
        <f>INPUT!E39</f>
        <v>0</v>
      </c>
      <c r="F39" s="39" t="str">
        <f>INPUT!G39</f>
        <v>0011</v>
      </c>
      <c r="G39" s="37" t="str">
        <f>INPUT!I39</f>
        <v>ABS</v>
      </c>
      <c r="H39" s="37" t="str">
        <f>INPUT!K39</f>
        <v>ABS</v>
      </c>
      <c r="I39" s="37" t="str">
        <f>INPUT!M39</f>
        <v>ABS</v>
      </c>
      <c r="J39" s="38" t="str">
        <f>INPUT!L39</f>
        <v>ABS</v>
      </c>
      <c r="K39" s="205" t="str">
        <f>INPUT!N39</f>
        <v>0031</v>
      </c>
      <c r="L39" s="37" t="str">
        <f>INPUT!P39</f>
        <v>ABS</v>
      </c>
      <c r="M39" s="37" t="str">
        <f>INPUT!R39</f>
        <v>ABS</v>
      </c>
      <c r="N39" s="37" t="str">
        <f>INPUT!T39</f>
        <v>ABS</v>
      </c>
      <c r="O39" s="46" t="str">
        <f>INPUT!S39</f>
        <v>ABS</v>
      </c>
      <c r="P39" s="202" t="str">
        <f>INPUT!U39</f>
        <v>0051</v>
      </c>
      <c r="Q39" s="37" t="str">
        <f>INPUT!W39</f>
        <v>ABS</v>
      </c>
      <c r="R39" s="37" t="str">
        <f>INPUT!Y39</f>
        <v>ABS</v>
      </c>
      <c r="S39" s="37" t="str">
        <f>INPUT!AA39</f>
        <v>ABS</v>
      </c>
      <c r="T39" s="38" t="str">
        <f>INPUT!Z39</f>
        <v>ABS</v>
      </c>
      <c r="U39" s="209">
        <f>INPUT!AB39</f>
        <v>0</v>
      </c>
      <c r="V39" s="37" t="str">
        <f>INPUT!AD39</f>
        <v>ABS</v>
      </c>
      <c r="W39" s="37" t="str">
        <f>INPUT!AF39</f>
        <v>ABS</v>
      </c>
      <c r="X39" s="37" t="str">
        <f>INPUT!AH39</f>
        <v>ABS</v>
      </c>
      <c r="Y39" s="46" t="str">
        <f>INPUT!AG39</f>
        <v>ABS</v>
      </c>
      <c r="Z39" s="209">
        <f>INPUT!AI39</f>
        <v>0</v>
      </c>
      <c r="AA39" s="37" t="str">
        <f>INPUT!AK39</f>
        <v>ABS</v>
      </c>
      <c r="AB39" s="37" t="str">
        <f>INPUT!AM39</f>
        <v>ABS</v>
      </c>
      <c r="AC39" s="37" t="str">
        <f>INPUT!AO39</f>
        <v>ABS</v>
      </c>
      <c r="AD39" s="46" t="str">
        <f>INPUT!AN39</f>
        <v>ABS</v>
      </c>
      <c r="AE39" s="204">
        <f>INPUT!AP39</f>
        <v>0</v>
      </c>
      <c r="AF39" s="37" t="str">
        <f>INPUT!AR39</f>
        <v>ABS</v>
      </c>
      <c r="AG39" s="37" t="str">
        <f>INPUT!AT39</f>
        <v>ABS</v>
      </c>
      <c r="AH39" s="37" t="str">
        <f>INPUT!AV39</f>
        <v>ABS</v>
      </c>
      <c r="AI39" s="38" t="str">
        <f>INPUT!AU39</f>
        <v>ABS</v>
      </c>
      <c r="AJ39" s="40" t="str">
        <f t="shared" si="0"/>
        <v>-</v>
      </c>
      <c r="AK39" s="211">
        <f>INPUT!AX39</f>
        <v>0</v>
      </c>
      <c r="AL39" s="37" t="str">
        <f>INPUT!AZ39</f>
        <v>ABS</v>
      </c>
      <c r="AM39" s="37" t="str">
        <f>INPUT!BB39</f>
        <v>ABS</v>
      </c>
      <c r="AN39" s="37" t="str">
        <f>INPUT!BD39</f>
        <v>ABS</v>
      </c>
      <c r="AO39" s="212" t="str">
        <f>INPUT!BC39</f>
        <v>ABS</v>
      </c>
      <c r="AP39" s="41" t="str">
        <f t="shared" si="1"/>
        <v/>
      </c>
      <c r="AQ39" s="41" t="str">
        <f t="shared" si="2"/>
        <v>ABS</v>
      </c>
      <c r="AR39" s="41" t="str">
        <f t="shared" si="3"/>
        <v/>
      </c>
      <c r="AS39" s="30"/>
      <c r="AT39" s="30"/>
      <c r="AU39" s="30"/>
      <c r="AV39" s="30"/>
      <c r="AX39" s="114" t="str">
        <f>AJ39&amp;"_"&amp;COUNTIF($AJ$5:AJ39,AJ39)</f>
        <v>-_29</v>
      </c>
    </row>
    <row r="40" spans="1:50">
      <c r="A40" s="112"/>
      <c r="B40" s="44">
        <f>INPUT!F40</f>
        <v>0</v>
      </c>
      <c r="C40" s="50">
        <f>INPUT!C40</f>
        <v>0</v>
      </c>
      <c r="D40" s="130">
        <f>INPUT!D40</f>
        <v>0</v>
      </c>
      <c r="E40" s="51">
        <f>INPUT!E40</f>
        <v>0</v>
      </c>
      <c r="F40" s="39" t="str">
        <f>INPUT!G40</f>
        <v>0011</v>
      </c>
      <c r="G40" s="37" t="str">
        <f>INPUT!I40</f>
        <v>ABS</v>
      </c>
      <c r="H40" s="37" t="str">
        <f>INPUT!K40</f>
        <v>ABS</v>
      </c>
      <c r="I40" s="37" t="str">
        <f>INPUT!M40</f>
        <v>ABS</v>
      </c>
      <c r="J40" s="38" t="str">
        <f>INPUT!L40</f>
        <v>ABS</v>
      </c>
      <c r="K40" s="205" t="str">
        <f>INPUT!N40</f>
        <v>0031</v>
      </c>
      <c r="L40" s="37" t="str">
        <f>INPUT!P40</f>
        <v>ABS</v>
      </c>
      <c r="M40" s="37" t="str">
        <f>INPUT!R40</f>
        <v>ABS</v>
      </c>
      <c r="N40" s="37" t="str">
        <f>INPUT!T40</f>
        <v>ABS</v>
      </c>
      <c r="O40" s="46" t="str">
        <f>INPUT!S40</f>
        <v>ABS</v>
      </c>
      <c r="P40" s="202" t="str">
        <f>INPUT!U40</f>
        <v>0051</v>
      </c>
      <c r="Q40" s="37" t="str">
        <f>INPUT!W40</f>
        <v>ABS</v>
      </c>
      <c r="R40" s="37" t="str">
        <f>INPUT!Y40</f>
        <v>ABS</v>
      </c>
      <c r="S40" s="37" t="str">
        <f>INPUT!AA40</f>
        <v>ABS</v>
      </c>
      <c r="T40" s="38" t="str">
        <f>INPUT!Z40</f>
        <v>ABS</v>
      </c>
      <c r="U40" s="209">
        <f>INPUT!AB40</f>
        <v>0</v>
      </c>
      <c r="V40" s="37" t="str">
        <f>INPUT!AD40</f>
        <v>ABS</v>
      </c>
      <c r="W40" s="37" t="str">
        <f>INPUT!AF40</f>
        <v>ABS</v>
      </c>
      <c r="X40" s="37" t="str">
        <f>INPUT!AH40</f>
        <v>ABS</v>
      </c>
      <c r="Y40" s="46" t="str">
        <f>INPUT!AG40</f>
        <v>ABS</v>
      </c>
      <c r="Z40" s="209">
        <f>INPUT!AI40</f>
        <v>0</v>
      </c>
      <c r="AA40" s="37" t="str">
        <f>INPUT!AK40</f>
        <v>ABS</v>
      </c>
      <c r="AB40" s="37" t="str">
        <f>INPUT!AM40</f>
        <v>ABS</v>
      </c>
      <c r="AC40" s="37" t="str">
        <f>INPUT!AO40</f>
        <v>ABS</v>
      </c>
      <c r="AD40" s="46" t="str">
        <f>INPUT!AN40</f>
        <v>ABS</v>
      </c>
      <c r="AE40" s="204">
        <f>INPUT!AP40</f>
        <v>0</v>
      </c>
      <c r="AF40" s="37" t="str">
        <f>INPUT!AR40</f>
        <v>ABS</v>
      </c>
      <c r="AG40" s="37" t="str">
        <f>INPUT!AT40</f>
        <v>ABS</v>
      </c>
      <c r="AH40" s="37" t="str">
        <f>INPUT!AV40</f>
        <v>ABS</v>
      </c>
      <c r="AI40" s="38" t="str">
        <f>INPUT!AU40</f>
        <v>ABS</v>
      </c>
      <c r="AJ40" s="40" t="str">
        <f t="shared" si="0"/>
        <v>-</v>
      </c>
      <c r="AK40" s="211">
        <f>INPUT!AX40</f>
        <v>0</v>
      </c>
      <c r="AL40" s="37" t="str">
        <f>INPUT!AZ40</f>
        <v>ABS</v>
      </c>
      <c r="AM40" s="37" t="str">
        <f>INPUT!BB40</f>
        <v>ABS</v>
      </c>
      <c r="AN40" s="37" t="str">
        <f>INPUT!BD40</f>
        <v>ABS</v>
      </c>
      <c r="AO40" s="212" t="str">
        <f>INPUT!BC40</f>
        <v>ABS</v>
      </c>
      <c r="AP40" s="41" t="str">
        <f t="shared" si="1"/>
        <v/>
      </c>
      <c r="AQ40" s="41" t="str">
        <f t="shared" si="2"/>
        <v>ABS</v>
      </c>
      <c r="AR40" s="41" t="str">
        <f t="shared" si="3"/>
        <v/>
      </c>
      <c r="AS40" s="30"/>
      <c r="AT40" s="30"/>
      <c r="AU40" s="30"/>
      <c r="AV40" s="30"/>
      <c r="AX40" s="114" t="str">
        <f>AJ40&amp;"_"&amp;COUNTIF($AJ$5:AJ40,AJ40)</f>
        <v>-_30</v>
      </c>
    </row>
    <row r="41" spans="1:50">
      <c r="A41" s="112"/>
      <c r="B41" s="44">
        <f>INPUT!F41</f>
        <v>0</v>
      </c>
      <c r="C41" s="50">
        <f>INPUT!C41</f>
        <v>0</v>
      </c>
      <c r="D41" s="130">
        <f>INPUT!D41</f>
        <v>0</v>
      </c>
      <c r="E41" s="51">
        <f>INPUT!E41</f>
        <v>0</v>
      </c>
      <c r="F41" s="39" t="str">
        <f>INPUT!G41</f>
        <v>0011</v>
      </c>
      <c r="G41" s="37" t="str">
        <f>INPUT!I41</f>
        <v>ABS</v>
      </c>
      <c r="H41" s="37" t="str">
        <f>INPUT!K41</f>
        <v>ABS</v>
      </c>
      <c r="I41" s="37" t="str">
        <f>INPUT!M41</f>
        <v>ABS</v>
      </c>
      <c r="J41" s="38" t="str">
        <f>INPUT!L41</f>
        <v>ABS</v>
      </c>
      <c r="K41" s="205" t="str">
        <f>INPUT!N41</f>
        <v>0031</v>
      </c>
      <c r="L41" s="37" t="str">
        <f>INPUT!P41</f>
        <v>ABS</v>
      </c>
      <c r="M41" s="37" t="str">
        <f>INPUT!R41</f>
        <v>ABS</v>
      </c>
      <c r="N41" s="37" t="str">
        <f>INPUT!T41</f>
        <v>ABS</v>
      </c>
      <c r="O41" s="46" t="str">
        <f>INPUT!S41</f>
        <v>ABS</v>
      </c>
      <c r="P41" s="202" t="str">
        <f>INPUT!U41</f>
        <v>0051</v>
      </c>
      <c r="Q41" s="37" t="str">
        <f>INPUT!W41</f>
        <v>ABS</v>
      </c>
      <c r="R41" s="37" t="str">
        <f>INPUT!Y41</f>
        <v>ABS</v>
      </c>
      <c r="S41" s="37" t="str">
        <f>INPUT!AA41</f>
        <v>ABS</v>
      </c>
      <c r="T41" s="38" t="str">
        <f>INPUT!Z41</f>
        <v>ABS</v>
      </c>
      <c r="U41" s="209">
        <f>INPUT!AB41</f>
        <v>0</v>
      </c>
      <c r="V41" s="37" t="str">
        <f>INPUT!AD41</f>
        <v>ABS</v>
      </c>
      <c r="W41" s="37" t="str">
        <f>INPUT!AF41</f>
        <v>ABS</v>
      </c>
      <c r="X41" s="37" t="str">
        <f>INPUT!AH41</f>
        <v>ABS</v>
      </c>
      <c r="Y41" s="46" t="str">
        <f>INPUT!AG41</f>
        <v>ABS</v>
      </c>
      <c r="Z41" s="209">
        <f>INPUT!AI41</f>
        <v>0</v>
      </c>
      <c r="AA41" s="37" t="str">
        <f>INPUT!AK41</f>
        <v>ABS</v>
      </c>
      <c r="AB41" s="37" t="str">
        <f>INPUT!AM41</f>
        <v>ABS</v>
      </c>
      <c r="AC41" s="37" t="str">
        <f>INPUT!AO41</f>
        <v>ABS</v>
      </c>
      <c r="AD41" s="46" t="str">
        <f>INPUT!AN41</f>
        <v>ABS</v>
      </c>
      <c r="AE41" s="204">
        <f>INPUT!AP41</f>
        <v>0</v>
      </c>
      <c r="AF41" s="37" t="str">
        <f>INPUT!AR41</f>
        <v>ABS</v>
      </c>
      <c r="AG41" s="37" t="str">
        <f>INPUT!AT41</f>
        <v>ABS</v>
      </c>
      <c r="AH41" s="37" t="str">
        <f>INPUT!AV41</f>
        <v>ABS</v>
      </c>
      <c r="AI41" s="38" t="str">
        <f>INPUT!AU41</f>
        <v>ABS</v>
      </c>
      <c r="AJ41" s="40" t="str">
        <f t="shared" si="0"/>
        <v>-</v>
      </c>
      <c r="AK41" s="211">
        <f>INPUT!AX41</f>
        <v>0</v>
      </c>
      <c r="AL41" s="37" t="str">
        <f>INPUT!AZ41</f>
        <v>ABS</v>
      </c>
      <c r="AM41" s="37" t="str">
        <f>INPUT!BB41</f>
        <v>ABS</v>
      </c>
      <c r="AN41" s="37" t="str">
        <f>INPUT!BD41</f>
        <v>ABS</v>
      </c>
      <c r="AO41" s="212" t="str">
        <f>INPUT!BC41</f>
        <v>ABS</v>
      </c>
      <c r="AP41" s="41" t="str">
        <f t="shared" si="1"/>
        <v/>
      </c>
      <c r="AQ41" s="41" t="str">
        <f t="shared" si="2"/>
        <v>ABS</v>
      </c>
      <c r="AR41" s="41" t="str">
        <f t="shared" si="3"/>
        <v/>
      </c>
      <c r="AS41" s="30"/>
      <c r="AT41" s="30"/>
      <c r="AU41" s="30"/>
      <c r="AV41" s="30"/>
      <c r="AX41" s="114" t="str">
        <f>AJ41&amp;"_"&amp;COUNTIF($AJ$5:AJ41,AJ41)</f>
        <v>-_31</v>
      </c>
    </row>
    <row r="42" spans="1:50">
      <c r="A42" s="112"/>
      <c r="B42" s="44">
        <f>INPUT!F42</f>
        <v>0</v>
      </c>
      <c r="C42" s="50">
        <f>INPUT!C42</f>
        <v>0</v>
      </c>
      <c r="D42" s="130">
        <f>INPUT!D42</f>
        <v>0</v>
      </c>
      <c r="E42" s="51">
        <f>INPUT!E42</f>
        <v>0</v>
      </c>
      <c r="F42" s="39" t="str">
        <f>INPUT!G42</f>
        <v>0011</v>
      </c>
      <c r="G42" s="37" t="str">
        <f>INPUT!I42</f>
        <v>ABS</v>
      </c>
      <c r="H42" s="37" t="str">
        <f>INPUT!K42</f>
        <v>ABS</v>
      </c>
      <c r="I42" s="37" t="str">
        <f>INPUT!M42</f>
        <v>ABS</v>
      </c>
      <c r="J42" s="38" t="str">
        <f>INPUT!L42</f>
        <v>ABS</v>
      </c>
      <c r="K42" s="205" t="str">
        <f>INPUT!N42</f>
        <v>0031</v>
      </c>
      <c r="L42" s="37" t="str">
        <f>INPUT!P42</f>
        <v>ABS</v>
      </c>
      <c r="M42" s="37" t="str">
        <f>INPUT!R42</f>
        <v>ABS</v>
      </c>
      <c r="N42" s="37" t="str">
        <f>INPUT!T42</f>
        <v>ABS</v>
      </c>
      <c r="O42" s="46" t="str">
        <f>INPUT!S42</f>
        <v>ABS</v>
      </c>
      <c r="P42" s="202" t="str">
        <f>INPUT!U42</f>
        <v>0051</v>
      </c>
      <c r="Q42" s="37" t="str">
        <f>INPUT!W42</f>
        <v>ABS</v>
      </c>
      <c r="R42" s="37" t="str">
        <f>INPUT!Y42</f>
        <v>ABS</v>
      </c>
      <c r="S42" s="37" t="str">
        <f>INPUT!AA42</f>
        <v>ABS</v>
      </c>
      <c r="T42" s="38" t="str">
        <f>INPUT!Z42</f>
        <v>ABS</v>
      </c>
      <c r="U42" s="209">
        <f>INPUT!AB42</f>
        <v>0</v>
      </c>
      <c r="V42" s="37" t="str">
        <f>INPUT!AD42</f>
        <v>ABS</v>
      </c>
      <c r="W42" s="37" t="str">
        <f>INPUT!AF42</f>
        <v>ABS</v>
      </c>
      <c r="X42" s="37" t="str">
        <f>INPUT!AH42</f>
        <v>ABS</v>
      </c>
      <c r="Y42" s="46" t="str">
        <f>INPUT!AG42</f>
        <v>ABS</v>
      </c>
      <c r="Z42" s="209">
        <f>INPUT!AI42</f>
        <v>0</v>
      </c>
      <c r="AA42" s="37" t="str">
        <f>INPUT!AK42</f>
        <v>ABS</v>
      </c>
      <c r="AB42" s="37" t="str">
        <f>INPUT!AM42</f>
        <v>ABS</v>
      </c>
      <c r="AC42" s="37" t="str">
        <f>INPUT!AO42</f>
        <v>ABS</v>
      </c>
      <c r="AD42" s="46" t="str">
        <f>INPUT!AN42</f>
        <v>ABS</v>
      </c>
      <c r="AE42" s="204">
        <f>INPUT!AP42</f>
        <v>0</v>
      </c>
      <c r="AF42" s="37" t="str">
        <f>INPUT!AR42</f>
        <v>ABS</v>
      </c>
      <c r="AG42" s="37" t="str">
        <f>INPUT!AT42</f>
        <v>ABS</v>
      </c>
      <c r="AH42" s="37" t="str">
        <f>INPUT!AV42</f>
        <v>ABS</v>
      </c>
      <c r="AI42" s="38" t="str">
        <f>INPUT!AU42</f>
        <v>ABS</v>
      </c>
      <c r="AJ42" s="40" t="str">
        <f t="shared" si="0"/>
        <v>-</v>
      </c>
      <c r="AK42" s="211">
        <f>INPUT!AX42</f>
        <v>0</v>
      </c>
      <c r="AL42" s="37" t="str">
        <f>INPUT!AZ42</f>
        <v>ABS</v>
      </c>
      <c r="AM42" s="37" t="str">
        <f>INPUT!BB42</f>
        <v>ABS</v>
      </c>
      <c r="AN42" s="37" t="str">
        <f>INPUT!BD42</f>
        <v>ABS</v>
      </c>
      <c r="AO42" s="212" t="str">
        <f>INPUT!BC42</f>
        <v>ABS</v>
      </c>
      <c r="AP42" s="41" t="str">
        <f t="shared" si="1"/>
        <v/>
      </c>
      <c r="AQ42" s="41" t="str">
        <f t="shared" si="2"/>
        <v>ABS</v>
      </c>
      <c r="AR42" s="41" t="str">
        <f t="shared" si="3"/>
        <v/>
      </c>
      <c r="AS42" s="30"/>
      <c r="AT42" s="30"/>
      <c r="AU42" s="30"/>
      <c r="AV42" s="30"/>
      <c r="AX42" s="114" t="str">
        <f>AJ42&amp;"_"&amp;COUNTIF($AJ$5:AJ42,AJ42)</f>
        <v>-_32</v>
      </c>
    </row>
    <row r="43" spans="1:50">
      <c r="A43" s="112"/>
      <c r="B43" s="44">
        <f>INPUT!F43</f>
        <v>0</v>
      </c>
      <c r="C43" s="50">
        <f>INPUT!C43</f>
        <v>0</v>
      </c>
      <c r="D43" s="130">
        <f>INPUT!D43</f>
        <v>0</v>
      </c>
      <c r="E43" s="51">
        <f>INPUT!E43</f>
        <v>0</v>
      </c>
      <c r="F43" s="39" t="str">
        <f>INPUT!G43</f>
        <v>0011</v>
      </c>
      <c r="G43" s="37" t="str">
        <f>INPUT!I43</f>
        <v>ABS</v>
      </c>
      <c r="H43" s="37" t="str">
        <f>INPUT!K43</f>
        <v>ABS</v>
      </c>
      <c r="I43" s="37" t="str">
        <f>INPUT!M43</f>
        <v>ABS</v>
      </c>
      <c r="J43" s="38" t="str">
        <f>INPUT!L43</f>
        <v>ABS</v>
      </c>
      <c r="K43" s="205" t="str">
        <f>INPUT!N43</f>
        <v>0031</v>
      </c>
      <c r="L43" s="37" t="str">
        <f>INPUT!P43</f>
        <v>ABS</v>
      </c>
      <c r="M43" s="37" t="str">
        <f>INPUT!R43</f>
        <v>ABS</v>
      </c>
      <c r="N43" s="37" t="str">
        <f>INPUT!T43</f>
        <v>ABS</v>
      </c>
      <c r="O43" s="46" t="str">
        <f>INPUT!S43</f>
        <v>ABS</v>
      </c>
      <c r="P43" s="202" t="str">
        <f>INPUT!U43</f>
        <v>0051</v>
      </c>
      <c r="Q43" s="37" t="str">
        <f>INPUT!W43</f>
        <v>ABS</v>
      </c>
      <c r="R43" s="37" t="str">
        <f>INPUT!Y43</f>
        <v>ABS</v>
      </c>
      <c r="S43" s="37" t="str">
        <f>INPUT!AA43</f>
        <v>ABS</v>
      </c>
      <c r="T43" s="38" t="str">
        <f>INPUT!Z43</f>
        <v>ABS</v>
      </c>
      <c r="U43" s="209">
        <f>INPUT!AB43</f>
        <v>0</v>
      </c>
      <c r="V43" s="37" t="str">
        <f>INPUT!AD43</f>
        <v>ABS</v>
      </c>
      <c r="W43" s="37" t="str">
        <f>INPUT!AF43</f>
        <v>ABS</v>
      </c>
      <c r="X43" s="37" t="str">
        <f>INPUT!AH43</f>
        <v>ABS</v>
      </c>
      <c r="Y43" s="46" t="str">
        <f>INPUT!AG43</f>
        <v>ABS</v>
      </c>
      <c r="Z43" s="209">
        <f>INPUT!AI43</f>
        <v>0</v>
      </c>
      <c r="AA43" s="37" t="str">
        <f>INPUT!AK43</f>
        <v>ABS</v>
      </c>
      <c r="AB43" s="37" t="str">
        <f>INPUT!AM43</f>
        <v>ABS</v>
      </c>
      <c r="AC43" s="37" t="str">
        <f>INPUT!AO43</f>
        <v>ABS</v>
      </c>
      <c r="AD43" s="46" t="str">
        <f>INPUT!AN43</f>
        <v>ABS</v>
      </c>
      <c r="AE43" s="204">
        <f>INPUT!AP43</f>
        <v>0</v>
      </c>
      <c r="AF43" s="37" t="str">
        <f>INPUT!AR43</f>
        <v>ABS</v>
      </c>
      <c r="AG43" s="37" t="str">
        <f>INPUT!AT43</f>
        <v>ABS</v>
      </c>
      <c r="AH43" s="37" t="str">
        <f>INPUT!AV43</f>
        <v>ABS</v>
      </c>
      <c r="AI43" s="38" t="str">
        <f>INPUT!AU43</f>
        <v>ABS</v>
      </c>
      <c r="AJ43" s="40" t="str">
        <f t="shared" si="0"/>
        <v>-</v>
      </c>
      <c r="AK43" s="211">
        <f>INPUT!AX43</f>
        <v>0</v>
      </c>
      <c r="AL43" s="37" t="str">
        <f>INPUT!AZ43</f>
        <v>ABS</v>
      </c>
      <c r="AM43" s="37" t="str">
        <f>INPUT!BB43</f>
        <v>ABS</v>
      </c>
      <c r="AN43" s="37" t="str">
        <f>INPUT!BD43</f>
        <v>ABS</v>
      </c>
      <c r="AO43" s="212" t="str">
        <f>INPUT!BC43</f>
        <v>ABS</v>
      </c>
      <c r="AP43" s="41" t="str">
        <f t="shared" si="1"/>
        <v/>
      </c>
      <c r="AQ43" s="41" t="str">
        <f t="shared" si="2"/>
        <v>ABS</v>
      </c>
      <c r="AR43" s="41" t="str">
        <f t="shared" si="3"/>
        <v/>
      </c>
      <c r="AS43" s="30"/>
      <c r="AT43" s="30"/>
      <c r="AU43" s="30"/>
      <c r="AV43" s="30"/>
      <c r="AX43" s="114" t="str">
        <f>AJ43&amp;"_"&amp;COUNTIF($AJ$5:AJ43,AJ43)</f>
        <v>-_33</v>
      </c>
    </row>
    <row r="44" spans="1:50">
      <c r="A44" s="112"/>
      <c r="B44" s="44">
        <f>INPUT!F44</f>
        <v>0</v>
      </c>
      <c r="C44" s="50">
        <f>INPUT!C44</f>
        <v>0</v>
      </c>
      <c r="D44" s="130">
        <f>INPUT!D44</f>
        <v>0</v>
      </c>
      <c r="E44" s="51">
        <f>INPUT!E44</f>
        <v>0</v>
      </c>
      <c r="F44" s="39" t="str">
        <f>INPUT!G44</f>
        <v>0011</v>
      </c>
      <c r="G44" s="37" t="str">
        <f>INPUT!I44</f>
        <v>ABS</v>
      </c>
      <c r="H44" s="37" t="str">
        <f>INPUT!K44</f>
        <v>ABS</v>
      </c>
      <c r="I44" s="37" t="str">
        <f>INPUT!M44</f>
        <v>ABS</v>
      </c>
      <c r="J44" s="38" t="str">
        <f>INPUT!L44</f>
        <v>ABS</v>
      </c>
      <c r="K44" s="205" t="str">
        <f>INPUT!N44</f>
        <v>0031</v>
      </c>
      <c r="L44" s="37" t="str">
        <f>INPUT!P44</f>
        <v>ABS</v>
      </c>
      <c r="M44" s="37" t="str">
        <f>INPUT!R44</f>
        <v>ABS</v>
      </c>
      <c r="N44" s="37" t="str">
        <f>INPUT!T44</f>
        <v>ABS</v>
      </c>
      <c r="O44" s="46" t="str">
        <f>INPUT!S44</f>
        <v>ABS</v>
      </c>
      <c r="P44" s="202" t="str">
        <f>INPUT!U44</f>
        <v>0051</v>
      </c>
      <c r="Q44" s="37" t="str">
        <f>INPUT!W44</f>
        <v>ABS</v>
      </c>
      <c r="R44" s="37" t="str">
        <f>INPUT!Y44</f>
        <v>ABS</v>
      </c>
      <c r="S44" s="37" t="str">
        <f>INPUT!AA44</f>
        <v>ABS</v>
      </c>
      <c r="T44" s="38" t="str">
        <f>INPUT!Z44</f>
        <v>ABS</v>
      </c>
      <c r="U44" s="209">
        <f>INPUT!AB44</f>
        <v>0</v>
      </c>
      <c r="V44" s="37" t="str">
        <f>INPUT!AD44</f>
        <v>ABS</v>
      </c>
      <c r="W44" s="37" t="str">
        <f>INPUT!AF44</f>
        <v>ABS</v>
      </c>
      <c r="X44" s="37" t="str">
        <f>INPUT!AH44</f>
        <v>ABS</v>
      </c>
      <c r="Y44" s="46" t="str">
        <f>INPUT!AG44</f>
        <v>ABS</v>
      </c>
      <c r="Z44" s="209">
        <f>INPUT!AI44</f>
        <v>0</v>
      </c>
      <c r="AA44" s="37" t="str">
        <f>INPUT!AK44</f>
        <v>ABS</v>
      </c>
      <c r="AB44" s="37" t="str">
        <f>INPUT!AM44</f>
        <v>ABS</v>
      </c>
      <c r="AC44" s="37" t="str">
        <f>INPUT!AO44</f>
        <v>ABS</v>
      </c>
      <c r="AD44" s="46" t="str">
        <f>INPUT!AN44</f>
        <v>ABS</v>
      </c>
      <c r="AE44" s="204">
        <f>INPUT!AP44</f>
        <v>0</v>
      </c>
      <c r="AF44" s="37" t="str">
        <f>INPUT!AR44</f>
        <v>ABS</v>
      </c>
      <c r="AG44" s="37" t="str">
        <f>INPUT!AT44</f>
        <v>ABS</v>
      </c>
      <c r="AH44" s="37" t="str">
        <f>INPUT!AV44</f>
        <v>ABS</v>
      </c>
      <c r="AI44" s="38" t="str">
        <f>INPUT!AU44</f>
        <v>ABS</v>
      </c>
      <c r="AJ44" s="40" t="str">
        <f t="shared" si="0"/>
        <v>-</v>
      </c>
      <c r="AK44" s="211">
        <f>INPUT!AX44</f>
        <v>0</v>
      </c>
      <c r="AL44" s="37" t="str">
        <f>INPUT!AZ44</f>
        <v>ABS</v>
      </c>
      <c r="AM44" s="37" t="str">
        <f>INPUT!BB44</f>
        <v>ABS</v>
      </c>
      <c r="AN44" s="37" t="str">
        <f>INPUT!BD44</f>
        <v>ABS</v>
      </c>
      <c r="AO44" s="212" t="str">
        <f>INPUT!BC44</f>
        <v>ABS</v>
      </c>
      <c r="AP44" s="41" t="str">
        <f t="shared" si="1"/>
        <v/>
      </c>
      <c r="AQ44" s="41" t="str">
        <f t="shared" si="2"/>
        <v>ABS</v>
      </c>
      <c r="AR44" s="41" t="str">
        <f t="shared" si="3"/>
        <v/>
      </c>
      <c r="AS44" s="30"/>
      <c r="AT44" s="30"/>
      <c r="AU44" s="30"/>
      <c r="AV44" s="30"/>
      <c r="AX44" s="114" t="str">
        <f>AJ44&amp;"_"&amp;COUNTIF($AJ$5:AJ44,AJ44)</f>
        <v>-_34</v>
      </c>
    </row>
    <row r="45" spans="1:50">
      <c r="A45" s="112"/>
      <c r="B45" s="44">
        <f>INPUT!F45</f>
        <v>0</v>
      </c>
      <c r="C45" s="50">
        <f>INPUT!C45</f>
        <v>0</v>
      </c>
      <c r="D45" s="130">
        <f>INPUT!D45</f>
        <v>0</v>
      </c>
      <c r="E45" s="51">
        <f>INPUT!E45</f>
        <v>0</v>
      </c>
      <c r="F45" s="39" t="str">
        <f>INPUT!G45</f>
        <v>0011</v>
      </c>
      <c r="G45" s="37" t="str">
        <f>INPUT!I45</f>
        <v>ABS</v>
      </c>
      <c r="H45" s="37" t="str">
        <f>INPUT!K45</f>
        <v>ABS</v>
      </c>
      <c r="I45" s="37" t="str">
        <f>INPUT!M45</f>
        <v>ABS</v>
      </c>
      <c r="J45" s="38" t="str">
        <f>INPUT!L45</f>
        <v>ABS</v>
      </c>
      <c r="K45" s="205" t="str">
        <f>INPUT!N45</f>
        <v>0031</v>
      </c>
      <c r="L45" s="37" t="str">
        <f>INPUT!P45</f>
        <v>ABS</v>
      </c>
      <c r="M45" s="37" t="str">
        <f>INPUT!R45</f>
        <v>ABS</v>
      </c>
      <c r="N45" s="37" t="str">
        <f>INPUT!T45</f>
        <v>ABS</v>
      </c>
      <c r="O45" s="46" t="str">
        <f>INPUT!S45</f>
        <v>ABS</v>
      </c>
      <c r="P45" s="202" t="str">
        <f>INPUT!U45</f>
        <v>0051</v>
      </c>
      <c r="Q45" s="37" t="str">
        <f>INPUT!W45</f>
        <v>ABS</v>
      </c>
      <c r="R45" s="37" t="str">
        <f>INPUT!Y45</f>
        <v>ABS</v>
      </c>
      <c r="S45" s="37" t="str">
        <f>INPUT!AA45</f>
        <v>ABS</v>
      </c>
      <c r="T45" s="38" t="str">
        <f>INPUT!Z45</f>
        <v>ABS</v>
      </c>
      <c r="U45" s="209">
        <f>INPUT!AB45</f>
        <v>0</v>
      </c>
      <c r="V45" s="37" t="str">
        <f>INPUT!AD45</f>
        <v>ABS</v>
      </c>
      <c r="W45" s="37" t="str">
        <f>INPUT!AF45</f>
        <v>ABS</v>
      </c>
      <c r="X45" s="37" t="str">
        <f>INPUT!AH45</f>
        <v>ABS</v>
      </c>
      <c r="Y45" s="46" t="str">
        <f>INPUT!AG45</f>
        <v>ABS</v>
      </c>
      <c r="Z45" s="209">
        <f>INPUT!AI45</f>
        <v>0</v>
      </c>
      <c r="AA45" s="37" t="str">
        <f>INPUT!AK45</f>
        <v>ABS</v>
      </c>
      <c r="AB45" s="37" t="str">
        <f>INPUT!AM45</f>
        <v>ABS</v>
      </c>
      <c r="AC45" s="37" t="str">
        <f>INPUT!AO45</f>
        <v>ABS</v>
      </c>
      <c r="AD45" s="46" t="str">
        <f>INPUT!AN45</f>
        <v>ABS</v>
      </c>
      <c r="AE45" s="204">
        <f>INPUT!AP45</f>
        <v>0</v>
      </c>
      <c r="AF45" s="37" t="str">
        <f>INPUT!AR45</f>
        <v>ABS</v>
      </c>
      <c r="AG45" s="37" t="str">
        <f>INPUT!AT45</f>
        <v>ABS</v>
      </c>
      <c r="AH45" s="37" t="str">
        <f>INPUT!AV45</f>
        <v>ABS</v>
      </c>
      <c r="AI45" s="38" t="str">
        <f>INPUT!AU45</f>
        <v>ABS</v>
      </c>
      <c r="AJ45" s="40" t="str">
        <f t="shared" si="0"/>
        <v>-</v>
      </c>
      <c r="AK45" s="211">
        <f>INPUT!AX45</f>
        <v>0</v>
      </c>
      <c r="AL45" s="37" t="str">
        <f>INPUT!AZ45</f>
        <v>ABS</v>
      </c>
      <c r="AM45" s="37" t="str">
        <f>INPUT!BB45</f>
        <v>ABS</v>
      </c>
      <c r="AN45" s="37" t="str">
        <f>INPUT!BD45</f>
        <v>ABS</v>
      </c>
      <c r="AO45" s="212" t="str">
        <f>INPUT!BC45</f>
        <v>ABS</v>
      </c>
      <c r="AP45" s="41" t="str">
        <f t="shared" si="1"/>
        <v/>
      </c>
      <c r="AQ45" s="41" t="str">
        <f t="shared" si="2"/>
        <v>ABS</v>
      </c>
      <c r="AR45" s="41" t="str">
        <f t="shared" si="3"/>
        <v/>
      </c>
      <c r="AS45" s="30"/>
      <c r="AT45" s="30"/>
      <c r="AU45" s="30"/>
      <c r="AV45" s="30"/>
      <c r="AX45" s="114" t="str">
        <f>AJ45&amp;"_"&amp;COUNTIF($AJ$5:AJ45,AJ45)</f>
        <v>-_35</v>
      </c>
    </row>
    <row r="46" spans="1:50">
      <c r="A46" s="112"/>
      <c r="B46" s="44">
        <f>INPUT!F46</f>
        <v>0</v>
      </c>
      <c r="C46" s="50">
        <f>INPUT!C46</f>
        <v>0</v>
      </c>
      <c r="D46" s="130">
        <f>INPUT!D46</f>
        <v>0</v>
      </c>
      <c r="E46" s="51">
        <f>INPUT!E46</f>
        <v>0</v>
      </c>
      <c r="F46" s="39" t="str">
        <f>INPUT!G46</f>
        <v>0011</v>
      </c>
      <c r="G46" s="37" t="str">
        <f>INPUT!I46</f>
        <v>ABS</v>
      </c>
      <c r="H46" s="37" t="str">
        <f>INPUT!K46</f>
        <v>ABS</v>
      </c>
      <c r="I46" s="37" t="str">
        <f>INPUT!M46</f>
        <v>ABS</v>
      </c>
      <c r="J46" s="38" t="str">
        <f>INPUT!L46</f>
        <v>ABS</v>
      </c>
      <c r="K46" s="205" t="str">
        <f>INPUT!N46</f>
        <v>0031</v>
      </c>
      <c r="L46" s="37" t="str">
        <f>INPUT!P46</f>
        <v>ABS</v>
      </c>
      <c r="M46" s="37" t="str">
        <f>INPUT!R46</f>
        <v>ABS</v>
      </c>
      <c r="N46" s="37" t="str">
        <f>INPUT!T46</f>
        <v>ABS</v>
      </c>
      <c r="O46" s="46" t="str">
        <f>INPUT!S46</f>
        <v>ABS</v>
      </c>
      <c r="P46" s="202" t="str">
        <f>INPUT!U46</f>
        <v>0051</v>
      </c>
      <c r="Q46" s="37" t="str">
        <f>INPUT!W46</f>
        <v>ABS</v>
      </c>
      <c r="R46" s="37" t="str">
        <f>INPUT!Y46</f>
        <v>ABS</v>
      </c>
      <c r="S46" s="37" t="str">
        <f>INPUT!AA46</f>
        <v>ABS</v>
      </c>
      <c r="T46" s="38" t="str">
        <f>INPUT!Z46</f>
        <v>ABS</v>
      </c>
      <c r="U46" s="209">
        <f>INPUT!AB46</f>
        <v>0</v>
      </c>
      <c r="V46" s="37" t="str">
        <f>INPUT!AD46</f>
        <v>ABS</v>
      </c>
      <c r="W46" s="37" t="str">
        <f>INPUT!AF46</f>
        <v>ABS</v>
      </c>
      <c r="X46" s="37" t="str">
        <f>INPUT!AH46</f>
        <v>ABS</v>
      </c>
      <c r="Y46" s="46" t="str">
        <f>INPUT!AG46</f>
        <v>ABS</v>
      </c>
      <c r="Z46" s="209">
        <f>INPUT!AI46</f>
        <v>0</v>
      </c>
      <c r="AA46" s="37" t="str">
        <f>INPUT!AK46</f>
        <v>ABS</v>
      </c>
      <c r="AB46" s="37" t="str">
        <f>INPUT!AM46</f>
        <v>ABS</v>
      </c>
      <c r="AC46" s="37" t="str">
        <f>INPUT!AO46</f>
        <v>ABS</v>
      </c>
      <c r="AD46" s="46" t="str">
        <f>INPUT!AN46</f>
        <v>ABS</v>
      </c>
      <c r="AE46" s="204">
        <f>INPUT!AP46</f>
        <v>0</v>
      </c>
      <c r="AF46" s="37" t="str">
        <f>INPUT!AR46</f>
        <v>ABS</v>
      </c>
      <c r="AG46" s="37" t="str">
        <f>INPUT!AT46</f>
        <v>ABS</v>
      </c>
      <c r="AH46" s="37" t="str">
        <f>INPUT!AV46</f>
        <v>ABS</v>
      </c>
      <c r="AI46" s="38" t="str">
        <f>INPUT!AU46</f>
        <v>ABS</v>
      </c>
      <c r="AJ46" s="40" t="str">
        <f t="shared" si="0"/>
        <v>-</v>
      </c>
      <c r="AK46" s="211">
        <f>INPUT!AX46</f>
        <v>0</v>
      </c>
      <c r="AL46" s="37" t="str">
        <f>INPUT!AZ46</f>
        <v>ABS</v>
      </c>
      <c r="AM46" s="37" t="str">
        <f>INPUT!BB46</f>
        <v>ABS</v>
      </c>
      <c r="AN46" s="37" t="str">
        <f>INPUT!BD46</f>
        <v>ABS</v>
      </c>
      <c r="AO46" s="212" t="str">
        <f>INPUT!BC46</f>
        <v>ABS</v>
      </c>
      <c r="AP46" s="41" t="str">
        <f t="shared" si="1"/>
        <v/>
      </c>
      <c r="AQ46" s="41" t="str">
        <f t="shared" si="2"/>
        <v>ABS</v>
      </c>
      <c r="AR46" s="41" t="str">
        <f t="shared" si="3"/>
        <v/>
      </c>
      <c r="AS46" s="30"/>
      <c r="AT46" s="30"/>
      <c r="AU46" s="30"/>
      <c r="AV46" s="30"/>
      <c r="AX46" s="114" t="str">
        <f>AJ46&amp;"_"&amp;COUNTIF($AJ$5:AJ46,AJ46)</f>
        <v>-_36</v>
      </c>
    </row>
    <row r="47" spans="1:50">
      <c r="A47" s="112"/>
      <c r="B47" s="44">
        <f>INPUT!F47</f>
        <v>0</v>
      </c>
      <c r="C47" s="50">
        <f>INPUT!C47</f>
        <v>0</v>
      </c>
      <c r="D47" s="130">
        <f>INPUT!D47</f>
        <v>0</v>
      </c>
      <c r="E47" s="51">
        <f>INPUT!E47</f>
        <v>0</v>
      </c>
      <c r="F47" s="39" t="str">
        <f>INPUT!G47</f>
        <v>0011</v>
      </c>
      <c r="G47" s="37" t="str">
        <f>INPUT!I47</f>
        <v>ABS</v>
      </c>
      <c r="H47" s="37" t="str">
        <f>INPUT!K47</f>
        <v>ABS</v>
      </c>
      <c r="I47" s="37" t="str">
        <f>INPUT!M47</f>
        <v>ABS</v>
      </c>
      <c r="J47" s="38" t="str">
        <f>INPUT!L47</f>
        <v>ABS</v>
      </c>
      <c r="K47" s="205" t="str">
        <f>INPUT!N47</f>
        <v>0031</v>
      </c>
      <c r="L47" s="37" t="str">
        <f>INPUT!P47</f>
        <v>ABS</v>
      </c>
      <c r="M47" s="37" t="str">
        <f>INPUT!R47</f>
        <v>ABS</v>
      </c>
      <c r="N47" s="37" t="str">
        <f>INPUT!T47</f>
        <v>ABS</v>
      </c>
      <c r="O47" s="46" t="str">
        <f>INPUT!S47</f>
        <v>ABS</v>
      </c>
      <c r="P47" s="202" t="str">
        <f>INPUT!U47</f>
        <v>0051</v>
      </c>
      <c r="Q47" s="37" t="str">
        <f>INPUT!W47</f>
        <v>ABS</v>
      </c>
      <c r="R47" s="37" t="str">
        <f>INPUT!Y47</f>
        <v>ABS</v>
      </c>
      <c r="S47" s="37" t="str">
        <f>INPUT!AA47</f>
        <v>ABS</v>
      </c>
      <c r="T47" s="38" t="str">
        <f>INPUT!Z47</f>
        <v>ABS</v>
      </c>
      <c r="U47" s="209">
        <f>INPUT!AB47</f>
        <v>0</v>
      </c>
      <c r="V47" s="37" t="str">
        <f>INPUT!AD47</f>
        <v>ABS</v>
      </c>
      <c r="W47" s="37" t="str">
        <f>INPUT!AF47</f>
        <v>ABS</v>
      </c>
      <c r="X47" s="37" t="str">
        <f>INPUT!AH47</f>
        <v>ABS</v>
      </c>
      <c r="Y47" s="46" t="str">
        <f>INPUT!AG47</f>
        <v>ABS</v>
      </c>
      <c r="Z47" s="209">
        <f>INPUT!AI47</f>
        <v>0</v>
      </c>
      <c r="AA47" s="37" t="str">
        <f>INPUT!AK47</f>
        <v>ABS</v>
      </c>
      <c r="AB47" s="37" t="str">
        <f>INPUT!AM47</f>
        <v>ABS</v>
      </c>
      <c r="AC47" s="37" t="str">
        <f>INPUT!AO47</f>
        <v>ABS</v>
      </c>
      <c r="AD47" s="46" t="str">
        <f>INPUT!AN47</f>
        <v>ABS</v>
      </c>
      <c r="AE47" s="204">
        <f>INPUT!AP47</f>
        <v>0</v>
      </c>
      <c r="AF47" s="37" t="str">
        <f>INPUT!AR47</f>
        <v>ABS</v>
      </c>
      <c r="AG47" s="37" t="str">
        <f>INPUT!AT47</f>
        <v>ABS</v>
      </c>
      <c r="AH47" s="37" t="str">
        <f>INPUT!AV47</f>
        <v>ABS</v>
      </c>
      <c r="AI47" s="38" t="str">
        <f>INPUT!AU47</f>
        <v>ABS</v>
      </c>
      <c r="AJ47" s="40" t="str">
        <f t="shared" si="0"/>
        <v>-</v>
      </c>
      <c r="AK47" s="211">
        <f>INPUT!AX47</f>
        <v>0</v>
      </c>
      <c r="AL47" s="37" t="str">
        <f>INPUT!AZ47</f>
        <v>ABS</v>
      </c>
      <c r="AM47" s="37" t="str">
        <f>INPUT!BB47</f>
        <v>ABS</v>
      </c>
      <c r="AN47" s="37" t="str">
        <f>INPUT!BD47</f>
        <v>ABS</v>
      </c>
      <c r="AO47" s="212" t="str">
        <f>INPUT!BC47</f>
        <v>ABS</v>
      </c>
      <c r="AP47" s="41" t="str">
        <f t="shared" si="1"/>
        <v/>
      </c>
      <c r="AQ47" s="41" t="str">
        <f t="shared" si="2"/>
        <v>ABS</v>
      </c>
      <c r="AR47" s="41" t="str">
        <f t="shared" si="3"/>
        <v/>
      </c>
      <c r="AS47" s="30"/>
      <c r="AT47" s="30"/>
      <c r="AU47" s="30"/>
      <c r="AV47" s="30"/>
      <c r="AX47" s="114" t="str">
        <f>AJ47&amp;"_"&amp;COUNTIF($AJ$5:AJ47,AJ47)</f>
        <v>-_37</v>
      </c>
    </row>
    <row r="48" spans="1:50">
      <c r="A48" s="112"/>
      <c r="B48" s="44">
        <f>INPUT!F48</f>
        <v>0</v>
      </c>
      <c r="C48" s="50">
        <f>INPUT!C48</f>
        <v>0</v>
      </c>
      <c r="D48" s="130">
        <f>INPUT!D48</f>
        <v>0</v>
      </c>
      <c r="E48" s="51">
        <f>INPUT!E48</f>
        <v>0</v>
      </c>
      <c r="F48" s="39" t="str">
        <f>INPUT!G48</f>
        <v>0011</v>
      </c>
      <c r="G48" s="37" t="str">
        <f>INPUT!I48</f>
        <v>ABS</v>
      </c>
      <c r="H48" s="37" t="str">
        <f>INPUT!K48</f>
        <v>ABS</v>
      </c>
      <c r="I48" s="37" t="str">
        <f>INPUT!M48</f>
        <v>ABS</v>
      </c>
      <c r="J48" s="38" t="str">
        <f>INPUT!L48</f>
        <v>ABS</v>
      </c>
      <c r="K48" s="205" t="str">
        <f>INPUT!N48</f>
        <v>0031</v>
      </c>
      <c r="L48" s="37" t="str">
        <f>INPUT!P48</f>
        <v>ABS</v>
      </c>
      <c r="M48" s="37" t="str">
        <f>INPUT!R48</f>
        <v>ABS</v>
      </c>
      <c r="N48" s="37" t="str">
        <f>INPUT!T48</f>
        <v>ABS</v>
      </c>
      <c r="O48" s="46" t="str">
        <f>INPUT!S48</f>
        <v>ABS</v>
      </c>
      <c r="P48" s="202" t="str">
        <f>INPUT!U48</f>
        <v>0051</v>
      </c>
      <c r="Q48" s="37" t="str">
        <f>INPUT!W48</f>
        <v>ABS</v>
      </c>
      <c r="R48" s="37" t="str">
        <f>INPUT!Y48</f>
        <v>ABS</v>
      </c>
      <c r="S48" s="37" t="str">
        <f>INPUT!AA48</f>
        <v>ABS</v>
      </c>
      <c r="T48" s="38" t="str">
        <f>INPUT!Z48</f>
        <v>ABS</v>
      </c>
      <c r="U48" s="209">
        <f>INPUT!AB48</f>
        <v>0</v>
      </c>
      <c r="V48" s="37" t="str">
        <f>INPUT!AD48</f>
        <v>ABS</v>
      </c>
      <c r="W48" s="37" t="str">
        <f>INPUT!AF48</f>
        <v>ABS</v>
      </c>
      <c r="X48" s="37" t="str">
        <f>INPUT!AH48</f>
        <v>ABS</v>
      </c>
      <c r="Y48" s="46" t="str">
        <f>INPUT!AG48</f>
        <v>ABS</v>
      </c>
      <c r="Z48" s="209">
        <f>INPUT!AI48</f>
        <v>0</v>
      </c>
      <c r="AA48" s="37" t="str">
        <f>INPUT!AK48</f>
        <v>ABS</v>
      </c>
      <c r="AB48" s="37" t="str">
        <f>INPUT!AM48</f>
        <v>ABS</v>
      </c>
      <c r="AC48" s="37" t="str">
        <f>INPUT!AO48</f>
        <v>ABS</v>
      </c>
      <c r="AD48" s="46" t="str">
        <f>INPUT!AN48</f>
        <v>ABS</v>
      </c>
      <c r="AE48" s="204">
        <f>INPUT!AP48</f>
        <v>0</v>
      </c>
      <c r="AF48" s="37" t="str">
        <f>INPUT!AR48</f>
        <v>ABS</v>
      </c>
      <c r="AG48" s="37" t="str">
        <f>INPUT!AT48</f>
        <v>ABS</v>
      </c>
      <c r="AH48" s="37" t="str">
        <f>INPUT!AV48</f>
        <v>ABS</v>
      </c>
      <c r="AI48" s="38" t="str">
        <f>INPUT!AU48</f>
        <v>ABS</v>
      </c>
      <c r="AJ48" s="40" t="str">
        <f t="shared" si="0"/>
        <v>-</v>
      </c>
      <c r="AK48" s="211">
        <f>INPUT!AX48</f>
        <v>0</v>
      </c>
      <c r="AL48" s="37" t="str">
        <f>INPUT!AZ48</f>
        <v>ABS</v>
      </c>
      <c r="AM48" s="37" t="str">
        <f>INPUT!BB48</f>
        <v>ABS</v>
      </c>
      <c r="AN48" s="37" t="str">
        <f>INPUT!BD48</f>
        <v>ABS</v>
      </c>
      <c r="AO48" s="212" t="str">
        <f>INPUT!BC48</f>
        <v>ABS</v>
      </c>
      <c r="AP48" s="41" t="str">
        <f t="shared" si="1"/>
        <v/>
      </c>
      <c r="AQ48" s="41" t="str">
        <f t="shared" si="2"/>
        <v>ABS</v>
      </c>
      <c r="AR48" s="41" t="str">
        <f t="shared" si="3"/>
        <v/>
      </c>
      <c r="AS48" s="30"/>
      <c r="AT48" s="30"/>
      <c r="AU48" s="30"/>
      <c r="AV48" s="30"/>
      <c r="AX48" s="114" t="str">
        <f>AJ48&amp;"_"&amp;COUNTIF($AJ$5:AJ48,AJ48)</f>
        <v>-_38</v>
      </c>
    </row>
    <row r="49" spans="1:50">
      <c r="A49" s="112"/>
      <c r="B49" s="44">
        <f>INPUT!F49</f>
        <v>0</v>
      </c>
      <c r="C49" s="50">
        <f>INPUT!C49</f>
        <v>0</v>
      </c>
      <c r="D49" s="130">
        <f>INPUT!D49</f>
        <v>0</v>
      </c>
      <c r="E49" s="51">
        <f>INPUT!E49</f>
        <v>0</v>
      </c>
      <c r="F49" s="39" t="str">
        <f>INPUT!G49</f>
        <v>0011</v>
      </c>
      <c r="G49" s="37" t="str">
        <f>INPUT!I49</f>
        <v>ABS</v>
      </c>
      <c r="H49" s="37" t="str">
        <f>INPUT!K49</f>
        <v>ABS</v>
      </c>
      <c r="I49" s="37" t="str">
        <f>INPUT!M49</f>
        <v>ABS</v>
      </c>
      <c r="J49" s="38" t="str">
        <f>INPUT!L49</f>
        <v>ABS</v>
      </c>
      <c r="K49" s="205" t="str">
        <f>INPUT!N49</f>
        <v>0031</v>
      </c>
      <c r="L49" s="37" t="str">
        <f>INPUT!P49</f>
        <v>ABS</v>
      </c>
      <c r="M49" s="37" t="str">
        <f>INPUT!R49</f>
        <v>ABS</v>
      </c>
      <c r="N49" s="37" t="str">
        <f>INPUT!T49</f>
        <v>ABS</v>
      </c>
      <c r="O49" s="46" t="str">
        <f>INPUT!S49</f>
        <v>ABS</v>
      </c>
      <c r="P49" s="202" t="str">
        <f>INPUT!U49</f>
        <v>0051</v>
      </c>
      <c r="Q49" s="37" t="str">
        <f>INPUT!W49</f>
        <v>ABS</v>
      </c>
      <c r="R49" s="37" t="str">
        <f>INPUT!Y49</f>
        <v>ABS</v>
      </c>
      <c r="S49" s="37" t="str">
        <f>INPUT!AA49</f>
        <v>ABS</v>
      </c>
      <c r="T49" s="38" t="str">
        <f>INPUT!Z49</f>
        <v>ABS</v>
      </c>
      <c r="U49" s="209">
        <f>INPUT!AB49</f>
        <v>0</v>
      </c>
      <c r="V49" s="37" t="str">
        <f>INPUT!AD49</f>
        <v>ABS</v>
      </c>
      <c r="W49" s="37" t="str">
        <f>INPUT!AF49</f>
        <v>ABS</v>
      </c>
      <c r="X49" s="37" t="str">
        <f>INPUT!AH49</f>
        <v>ABS</v>
      </c>
      <c r="Y49" s="46" t="str">
        <f>INPUT!AG49</f>
        <v>ABS</v>
      </c>
      <c r="Z49" s="209">
        <f>INPUT!AI49</f>
        <v>0</v>
      </c>
      <c r="AA49" s="37" t="str">
        <f>INPUT!AK49</f>
        <v>ABS</v>
      </c>
      <c r="AB49" s="37" t="str">
        <f>INPUT!AM49</f>
        <v>ABS</v>
      </c>
      <c r="AC49" s="37" t="str">
        <f>INPUT!AO49</f>
        <v>ABS</v>
      </c>
      <c r="AD49" s="46" t="str">
        <f>INPUT!AN49</f>
        <v>ABS</v>
      </c>
      <c r="AE49" s="204">
        <f>INPUT!AP49</f>
        <v>0</v>
      </c>
      <c r="AF49" s="37" t="str">
        <f>INPUT!AR49</f>
        <v>ABS</v>
      </c>
      <c r="AG49" s="37" t="str">
        <f>INPUT!AT49</f>
        <v>ABS</v>
      </c>
      <c r="AH49" s="37" t="str">
        <f>INPUT!AV49</f>
        <v>ABS</v>
      </c>
      <c r="AI49" s="38" t="str">
        <f>INPUT!AU49</f>
        <v>ABS</v>
      </c>
      <c r="AJ49" s="40" t="str">
        <f t="shared" si="0"/>
        <v>-</v>
      </c>
      <c r="AK49" s="211">
        <f>INPUT!AX49</f>
        <v>0</v>
      </c>
      <c r="AL49" s="37" t="str">
        <f>INPUT!AZ49</f>
        <v>ABS</v>
      </c>
      <c r="AM49" s="37" t="str">
        <f>INPUT!BB49</f>
        <v>ABS</v>
      </c>
      <c r="AN49" s="37" t="str">
        <f>INPUT!BD49</f>
        <v>ABS</v>
      </c>
      <c r="AO49" s="212" t="str">
        <f>INPUT!BC49</f>
        <v>ABS</v>
      </c>
      <c r="AP49" s="41" t="str">
        <f t="shared" si="1"/>
        <v/>
      </c>
      <c r="AQ49" s="41" t="str">
        <f t="shared" si="2"/>
        <v>ABS</v>
      </c>
      <c r="AR49" s="41" t="str">
        <f t="shared" si="3"/>
        <v/>
      </c>
      <c r="AS49" s="30"/>
      <c r="AT49" s="30"/>
      <c r="AU49" s="30"/>
      <c r="AV49" s="30"/>
      <c r="AX49" s="114" t="str">
        <f>AJ49&amp;"_"&amp;COUNTIF($AJ$5:AJ49,AJ49)</f>
        <v>-_39</v>
      </c>
    </row>
    <row r="50" spans="1:50">
      <c r="A50" s="112"/>
      <c r="B50" s="44">
        <f>INPUT!F50</f>
        <v>0</v>
      </c>
      <c r="C50" s="50">
        <f>INPUT!C50</f>
        <v>0</v>
      </c>
      <c r="D50" s="130">
        <f>INPUT!D50</f>
        <v>0</v>
      </c>
      <c r="E50" s="51">
        <f>INPUT!E50</f>
        <v>0</v>
      </c>
      <c r="F50" s="39" t="str">
        <f>INPUT!G50</f>
        <v>0011</v>
      </c>
      <c r="G50" s="37" t="str">
        <f>INPUT!I50</f>
        <v>ABS</v>
      </c>
      <c r="H50" s="37" t="str">
        <f>INPUT!K50</f>
        <v>ABS</v>
      </c>
      <c r="I50" s="37" t="str">
        <f>INPUT!M50</f>
        <v>ABS</v>
      </c>
      <c r="J50" s="38" t="str">
        <f>INPUT!L50</f>
        <v>ABS</v>
      </c>
      <c r="K50" s="205" t="str">
        <f>INPUT!N50</f>
        <v>0031</v>
      </c>
      <c r="L50" s="37" t="str">
        <f>INPUT!P50</f>
        <v>ABS</v>
      </c>
      <c r="M50" s="37" t="str">
        <f>INPUT!R50</f>
        <v>ABS</v>
      </c>
      <c r="N50" s="37" t="str">
        <f>INPUT!T50</f>
        <v>ABS</v>
      </c>
      <c r="O50" s="46" t="str">
        <f>INPUT!S50</f>
        <v>ABS</v>
      </c>
      <c r="P50" s="202" t="str">
        <f>INPUT!U50</f>
        <v>0051</v>
      </c>
      <c r="Q50" s="37" t="str">
        <f>INPUT!W50</f>
        <v>ABS</v>
      </c>
      <c r="R50" s="37" t="str">
        <f>INPUT!Y50</f>
        <v>ABS</v>
      </c>
      <c r="S50" s="37" t="str">
        <f>INPUT!AA50</f>
        <v>ABS</v>
      </c>
      <c r="T50" s="38" t="str">
        <f>INPUT!Z50</f>
        <v>ABS</v>
      </c>
      <c r="U50" s="209">
        <f>INPUT!AB50</f>
        <v>0</v>
      </c>
      <c r="V50" s="37" t="str">
        <f>INPUT!AD50</f>
        <v>ABS</v>
      </c>
      <c r="W50" s="37" t="str">
        <f>INPUT!AF50</f>
        <v>ABS</v>
      </c>
      <c r="X50" s="37" t="str">
        <f>INPUT!AH50</f>
        <v>ABS</v>
      </c>
      <c r="Y50" s="46" t="str">
        <f>INPUT!AG50</f>
        <v>ABS</v>
      </c>
      <c r="Z50" s="209">
        <f>INPUT!AI50</f>
        <v>0</v>
      </c>
      <c r="AA50" s="37" t="str">
        <f>INPUT!AK50</f>
        <v>ABS</v>
      </c>
      <c r="AB50" s="37" t="str">
        <f>INPUT!AM50</f>
        <v>ABS</v>
      </c>
      <c r="AC50" s="37" t="str">
        <f>INPUT!AO50</f>
        <v>ABS</v>
      </c>
      <c r="AD50" s="46" t="str">
        <f>INPUT!AN50</f>
        <v>ABS</v>
      </c>
      <c r="AE50" s="204">
        <f>INPUT!AP50</f>
        <v>0</v>
      </c>
      <c r="AF50" s="37" t="str">
        <f>INPUT!AR50</f>
        <v>ABS</v>
      </c>
      <c r="AG50" s="37" t="str">
        <f>INPUT!AT50</f>
        <v>ABS</v>
      </c>
      <c r="AH50" s="37" t="str">
        <f>INPUT!AV50</f>
        <v>ABS</v>
      </c>
      <c r="AI50" s="38" t="str">
        <f>INPUT!AU50</f>
        <v>ABS</v>
      </c>
      <c r="AJ50" s="40" t="str">
        <f t="shared" si="0"/>
        <v>-</v>
      </c>
      <c r="AK50" s="211">
        <f>INPUT!AX50</f>
        <v>0</v>
      </c>
      <c r="AL50" s="37" t="str">
        <f>INPUT!AZ50</f>
        <v>ABS</v>
      </c>
      <c r="AM50" s="37" t="str">
        <f>INPUT!BB50</f>
        <v>ABS</v>
      </c>
      <c r="AN50" s="37" t="str">
        <f>INPUT!BD50</f>
        <v>ABS</v>
      </c>
      <c r="AO50" s="212" t="str">
        <f>INPUT!BC50</f>
        <v>ABS</v>
      </c>
      <c r="AP50" s="41" t="str">
        <f t="shared" si="1"/>
        <v/>
      </c>
      <c r="AQ50" s="41" t="str">
        <f t="shared" si="2"/>
        <v>ABS</v>
      </c>
      <c r="AR50" s="41" t="str">
        <f t="shared" si="3"/>
        <v/>
      </c>
      <c r="AS50" s="30"/>
      <c r="AT50" s="30"/>
      <c r="AU50" s="30"/>
      <c r="AV50" s="30"/>
      <c r="AX50" s="114" t="str">
        <f>AJ50&amp;"_"&amp;COUNTIF($AJ$5:AJ50,AJ50)</f>
        <v>-_40</v>
      </c>
    </row>
    <row r="51" spans="1:50">
      <c r="A51" s="112"/>
      <c r="B51" s="44">
        <f>INPUT!F51</f>
        <v>0</v>
      </c>
      <c r="C51" s="50">
        <f>INPUT!C51</f>
        <v>0</v>
      </c>
      <c r="D51" s="130">
        <f>INPUT!D51</f>
        <v>0</v>
      </c>
      <c r="E51" s="51">
        <f>INPUT!E51</f>
        <v>0</v>
      </c>
      <c r="F51" s="39" t="str">
        <f>INPUT!G51</f>
        <v>0011</v>
      </c>
      <c r="G51" s="37" t="str">
        <f>INPUT!I51</f>
        <v>ABS</v>
      </c>
      <c r="H51" s="37" t="str">
        <f>INPUT!K51</f>
        <v>ABS</v>
      </c>
      <c r="I51" s="37" t="str">
        <f>INPUT!M51</f>
        <v>ABS</v>
      </c>
      <c r="J51" s="38" t="str">
        <f>INPUT!L51</f>
        <v>ABS</v>
      </c>
      <c r="K51" s="205" t="str">
        <f>INPUT!N51</f>
        <v>0031</v>
      </c>
      <c r="L51" s="37" t="str">
        <f>INPUT!P51</f>
        <v>ABS</v>
      </c>
      <c r="M51" s="37" t="str">
        <f>INPUT!R51</f>
        <v>ABS</v>
      </c>
      <c r="N51" s="37" t="str">
        <f>INPUT!T51</f>
        <v>ABS</v>
      </c>
      <c r="O51" s="46" t="str">
        <f>INPUT!S51</f>
        <v>ABS</v>
      </c>
      <c r="P51" s="202" t="str">
        <f>INPUT!U51</f>
        <v>0051</v>
      </c>
      <c r="Q51" s="37" t="str">
        <f>INPUT!W51</f>
        <v>ABS</v>
      </c>
      <c r="R51" s="37" t="str">
        <f>INPUT!Y51</f>
        <v>ABS</v>
      </c>
      <c r="S51" s="37" t="str">
        <f>INPUT!AA51</f>
        <v>ABS</v>
      </c>
      <c r="T51" s="38" t="str">
        <f>INPUT!Z51</f>
        <v>ABS</v>
      </c>
      <c r="U51" s="209">
        <f>INPUT!AB51</f>
        <v>0</v>
      </c>
      <c r="V51" s="37" t="str">
        <f>INPUT!AD51</f>
        <v>ABS</v>
      </c>
      <c r="W51" s="37" t="str">
        <f>INPUT!AF51</f>
        <v>ABS</v>
      </c>
      <c r="X51" s="37" t="str">
        <f>INPUT!AH51</f>
        <v>ABS</v>
      </c>
      <c r="Y51" s="46" t="str">
        <f>INPUT!AG51</f>
        <v>ABS</v>
      </c>
      <c r="Z51" s="209">
        <f>INPUT!AI51</f>
        <v>0</v>
      </c>
      <c r="AA51" s="37" t="str">
        <f>INPUT!AK51</f>
        <v>ABS</v>
      </c>
      <c r="AB51" s="37" t="str">
        <f>INPUT!AM51</f>
        <v>ABS</v>
      </c>
      <c r="AC51" s="37" t="str">
        <f>INPUT!AO51</f>
        <v>ABS</v>
      </c>
      <c r="AD51" s="46" t="str">
        <f>INPUT!AN51</f>
        <v>ABS</v>
      </c>
      <c r="AE51" s="204">
        <f>INPUT!AP51</f>
        <v>0</v>
      </c>
      <c r="AF51" s="37" t="str">
        <f>INPUT!AR51</f>
        <v>ABS</v>
      </c>
      <c r="AG51" s="37" t="str">
        <f>INPUT!AT51</f>
        <v>ABS</v>
      </c>
      <c r="AH51" s="37" t="str">
        <f>INPUT!AV51</f>
        <v>ABS</v>
      </c>
      <c r="AI51" s="38" t="str">
        <f>INPUT!AU51</f>
        <v>ABS</v>
      </c>
      <c r="AJ51" s="40" t="str">
        <f t="shared" si="0"/>
        <v>-</v>
      </c>
      <c r="AK51" s="211">
        <f>INPUT!AX51</f>
        <v>0</v>
      </c>
      <c r="AL51" s="37" t="str">
        <f>INPUT!AZ51</f>
        <v>ABS</v>
      </c>
      <c r="AM51" s="37" t="str">
        <f>INPUT!BB51</f>
        <v>ABS</v>
      </c>
      <c r="AN51" s="37" t="str">
        <f>INPUT!BD51</f>
        <v>ABS</v>
      </c>
      <c r="AO51" s="212" t="str">
        <f>INPUT!BC51</f>
        <v>ABS</v>
      </c>
      <c r="AP51" s="41" t="str">
        <f t="shared" si="1"/>
        <v/>
      </c>
      <c r="AQ51" s="41" t="str">
        <f t="shared" si="2"/>
        <v>ABS</v>
      </c>
      <c r="AR51" s="41" t="str">
        <f t="shared" si="3"/>
        <v/>
      </c>
      <c r="AS51" s="30"/>
      <c r="AT51" s="30"/>
      <c r="AU51" s="30"/>
      <c r="AV51" s="30"/>
      <c r="AX51" s="114" t="str">
        <f>AJ51&amp;"_"&amp;COUNTIF($AJ$5:AJ51,AJ51)</f>
        <v>-_41</v>
      </c>
    </row>
    <row r="52" spans="1:50">
      <c r="A52" s="112"/>
      <c r="B52" s="44">
        <f>INPUT!F52</f>
        <v>0</v>
      </c>
      <c r="C52" s="50">
        <f>INPUT!C52</f>
        <v>0</v>
      </c>
      <c r="D52" s="130">
        <f>INPUT!D52</f>
        <v>0</v>
      </c>
      <c r="E52" s="51">
        <f>INPUT!E52</f>
        <v>0</v>
      </c>
      <c r="F52" s="39" t="str">
        <f>INPUT!G52</f>
        <v>0011</v>
      </c>
      <c r="G52" s="37" t="str">
        <f>INPUT!I52</f>
        <v>ABS</v>
      </c>
      <c r="H52" s="37" t="str">
        <f>INPUT!K52</f>
        <v>ABS</v>
      </c>
      <c r="I52" s="37" t="str">
        <f>INPUT!M52</f>
        <v>ABS</v>
      </c>
      <c r="J52" s="38" t="str">
        <f>INPUT!L52</f>
        <v>ABS</v>
      </c>
      <c r="K52" s="205" t="str">
        <f>INPUT!N52</f>
        <v>0031</v>
      </c>
      <c r="L52" s="37" t="str">
        <f>INPUT!P52</f>
        <v>ABS</v>
      </c>
      <c r="M52" s="37" t="str">
        <f>INPUT!R52</f>
        <v>ABS</v>
      </c>
      <c r="N52" s="37" t="str">
        <f>INPUT!T52</f>
        <v>ABS</v>
      </c>
      <c r="O52" s="46" t="str">
        <f>INPUT!S52</f>
        <v>ABS</v>
      </c>
      <c r="P52" s="202" t="str">
        <f>INPUT!U52</f>
        <v>0051</v>
      </c>
      <c r="Q52" s="37" t="str">
        <f>INPUT!W52</f>
        <v>ABS</v>
      </c>
      <c r="R52" s="37" t="str">
        <f>INPUT!Y52</f>
        <v>ABS</v>
      </c>
      <c r="S52" s="37" t="str">
        <f>INPUT!AA52</f>
        <v>ABS</v>
      </c>
      <c r="T52" s="38" t="str">
        <f>INPUT!Z52</f>
        <v>ABS</v>
      </c>
      <c r="U52" s="209">
        <f>INPUT!AB52</f>
        <v>0</v>
      </c>
      <c r="V52" s="37" t="str">
        <f>INPUT!AD52</f>
        <v>ABS</v>
      </c>
      <c r="W52" s="37" t="str">
        <f>INPUT!AF52</f>
        <v>ABS</v>
      </c>
      <c r="X52" s="37" t="str">
        <f>INPUT!AH52</f>
        <v>ABS</v>
      </c>
      <c r="Y52" s="46" t="str">
        <f>INPUT!AG52</f>
        <v>ABS</v>
      </c>
      <c r="Z52" s="209">
        <f>INPUT!AI52</f>
        <v>0</v>
      </c>
      <c r="AA52" s="37" t="str">
        <f>INPUT!AK52</f>
        <v>ABS</v>
      </c>
      <c r="AB52" s="37" t="str">
        <f>INPUT!AM52</f>
        <v>ABS</v>
      </c>
      <c r="AC52" s="37" t="str">
        <f>INPUT!AO52</f>
        <v>ABS</v>
      </c>
      <c r="AD52" s="46" t="str">
        <f>INPUT!AN52</f>
        <v>ABS</v>
      </c>
      <c r="AE52" s="204">
        <f>INPUT!AP52</f>
        <v>0</v>
      </c>
      <c r="AF52" s="37" t="str">
        <f>INPUT!AR52</f>
        <v>ABS</v>
      </c>
      <c r="AG52" s="37" t="str">
        <f>INPUT!AT52</f>
        <v>ABS</v>
      </c>
      <c r="AH52" s="37" t="str">
        <f>INPUT!AV52</f>
        <v>ABS</v>
      </c>
      <c r="AI52" s="38" t="str">
        <f>INPUT!AU52</f>
        <v>ABS</v>
      </c>
      <c r="AJ52" s="40" t="str">
        <f t="shared" si="0"/>
        <v>-</v>
      </c>
      <c r="AK52" s="211">
        <f>INPUT!AX52</f>
        <v>0</v>
      </c>
      <c r="AL52" s="37" t="str">
        <f>INPUT!AZ52</f>
        <v>ABS</v>
      </c>
      <c r="AM52" s="37" t="str">
        <f>INPUT!BB52</f>
        <v>ABS</v>
      </c>
      <c r="AN52" s="37" t="str">
        <f>INPUT!BD52</f>
        <v>ABS</v>
      </c>
      <c r="AO52" s="212" t="str">
        <f>INPUT!BC52</f>
        <v>ABS</v>
      </c>
      <c r="AP52" s="41" t="str">
        <f t="shared" si="1"/>
        <v/>
      </c>
      <c r="AQ52" s="41" t="str">
        <f t="shared" si="2"/>
        <v>ABS</v>
      </c>
      <c r="AR52" s="41" t="str">
        <f t="shared" si="3"/>
        <v/>
      </c>
      <c r="AS52" s="30"/>
      <c r="AT52" s="30"/>
      <c r="AU52" s="30"/>
      <c r="AV52" s="30"/>
      <c r="AX52" s="114" t="str">
        <f>AJ52&amp;"_"&amp;COUNTIF($AJ$5:AJ52,AJ52)</f>
        <v>-_42</v>
      </c>
    </row>
    <row r="53" spans="1:50">
      <c r="A53" s="112"/>
      <c r="B53" s="44">
        <f>INPUT!F53</f>
        <v>0</v>
      </c>
      <c r="C53" s="50">
        <f>INPUT!C53</f>
        <v>0</v>
      </c>
      <c r="D53" s="130">
        <f>INPUT!D53</f>
        <v>0</v>
      </c>
      <c r="E53" s="51">
        <f>INPUT!E53</f>
        <v>0</v>
      </c>
      <c r="F53" s="39" t="str">
        <f>INPUT!G53</f>
        <v>0011</v>
      </c>
      <c r="G53" s="37" t="str">
        <f>INPUT!I53</f>
        <v>ABS</v>
      </c>
      <c r="H53" s="37" t="str">
        <f>INPUT!K53</f>
        <v>ABS</v>
      </c>
      <c r="I53" s="37" t="str">
        <f>INPUT!M53</f>
        <v>ABS</v>
      </c>
      <c r="J53" s="38" t="str">
        <f>INPUT!L53</f>
        <v>ABS</v>
      </c>
      <c r="K53" s="205" t="str">
        <f>INPUT!N53</f>
        <v>0031</v>
      </c>
      <c r="L53" s="37" t="str">
        <f>INPUT!P53</f>
        <v>ABS</v>
      </c>
      <c r="M53" s="37" t="str">
        <f>INPUT!R53</f>
        <v>ABS</v>
      </c>
      <c r="N53" s="37" t="str">
        <f>INPUT!T53</f>
        <v>ABS</v>
      </c>
      <c r="O53" s="46" t="str">
        <f>INPUT!S53</f>
        <v>ABS</v>
      </c>
      <c r="P53" s="202" t="str">
        <f>INPUT!U53</f>
        <v>0051</v>
      </c>
      <c r="Q53" s="37" t="str">
        <f>INPUT!W53</f>
        <v>ABS</v>
      </c>
      <c r="R53" s="37" t="str">
        <f>INPUT!Y53</f>
        <v>ABS</v>
      </c>
      <c r="S53" s="37" t="str">
        <f>INPUT!AA53</f>
        <v>ABS</v>
      </c>
      <c r="T53" s="38" t="str">
        <f>INPUT!Z53</f>
        <v>ABS</v>
      </c>
      <c r="U53" s="209">
        <f>INPUT!AB53</f>
        <v>0</v>
      </c>
      <c r="V53" s="37" t="str">
        <f>INPUT!AD53</f>
        <v>ABS</v>
      </c>
      <c r="W53" s="37" t="str">
        <f>INPUT!AF53</f>
        <v>ABS</v>
      </c>
      <c r="X53" s="37" t="str">
        <f>INPUT!AH53</f>
        <v>ABS</v>
      </c>
      <c r="Y53" s="46" t="str">
        <f>INPUT!AG53</f>
        <v>ABS</v>
      </c>
      <c r="Z53" s="209">
        <f>INPUT!AI53</f>
        <v>0</v>
      </c>
      <c r="AA53" s="37" t="str">
        <f>INPUT!AK53</f>
        <v>ABS</v>
      </c>
      <c r="AB53" s="37" t="str">
        <f>INPUT!AM53</f>
        <v>ABS</v>
      </c>
      <c r="AC53" s="37" t="str">
        <f>INPUT!AO53</f>
        <v>ABS</v>
      </c>
      <c r="AD53" s="46" t="str">
        <f>INPUT!AN53</f>
        <v>ABS</v>
      </c>
      <c r="AE53" s="204">
        <f>INPUT!AP53</f>
        <v>0</v>
      </c>
      <c r="AF53" s="37" t="str">
        <f>INPUT!AR53</f>
        <v>ABS</v>
      </c>
      <c r="AG53" s="37" t="str">
        <f>INPUT!AT53</f>
        <v>ABS</v>
      </c>
      <c r="AH53" s="37" t="str">
        <f>INPUT!AV53</f>
        <v>ABS</v>
      </c>
      <c r="AI53" s="38" t="str">
        <f>INPUT!AU53</f>
        <v>ABS</v>
      </c>
      <c r="AJ53" s="40" t="str">
        <f t="shared" si="0"/>
        <v>-</v>
      </c>
      <c r="AK53" s="211">
        <f>INPUT!AX53</f>
        <v>0</v>
      </c>
      <c r="AL53" s="37" t="str">
        <f>INPUT!AZ53</f>
        <v>ABS</v>
      </c>
      <c r="AM53" s="37" t="str">
        <f>INPUT!BB53</f>
        <v>ABS</v>
      </c>
      <c r="AN53" s="37" t="str">
        <f>INPUT!BD53</f>
        <v>ABS</v>
      </c>
      <c r="AO53" s="212" t="str">
        <f>INPUT!BC53</f>
        <v>ABS</v>
      </c>
      <c r="AP53" s="41" t="str">
        <f t="shared" si="1"/>
        <v/>
      </c>
      <c r="AQ53" s="41" t="str">
        <f t="shared" si="2"/>
        <v>ABS</v>
      </c>
      <c r="AR53" s="41" t="str">
        <f t="shared" si="3"/>
        <v/>
      </c>
      <c r="AS53" s="30"/>
      <c r="AT53" s="30"/>
      <c r="AU53" s="30"/>
      <c r="AV53" s="30"/>
      <c r="AX53" s="114" t="str">
        <f>AJ53&amp;"_"&amp;COUNTIF($AJ$5:AJ53,AJ53)</f>
        <v>-_43</v>
      </c>
    </row>
    <row r="54" spans="1:50">
      <c r="A54" s="112"/>
      <c r="B54" s="44">
        <f>INPUT!F54</f>
        <v>0</v>
      </c>
      <c r="C54" s="50">
        <f>INPUT!C54</f>
        <v>0</v>
      </c>
      <c r="D54" s="130">
        <f>INPUT!D54</f>
        <v>0</v>
      </c>
      <c r="E54" s="51">
        <f>INPUT!E54</f>
        <v>0</v>
      </c>
      <c r="F54" s="39" t="str">
        <f>INPUT!G54</f>
        <v>0011</v>
      </c>
      <c r="G54" s="37" t="str">
        <f>INPUT!I54</f>
        <v>ABS</v>
      </c>
      <c r="H54" s="37" t="str">
        <f>INPUT!K54</f>
        <v>ABS</v>
      </c>
      <c r="I54" s="37" t="str">
        <f>INPUT!M54</f>
        <v>ABS</v>
      </c>
      <c r="J54" s="38" t="str">
        <f>INPUT!L54</f>
        <v>ABS</v>
      </c>
      <c r="K54" s="205" t="str">
        <f>INPUT!N54</f>
        <v>0031</v>
      </c>
      <c r="L54" s="37" t="str">
        <f>INPUT!P54</f>
        <v>ABS</v>
      </c>
      <c r="M54" s="37" t="str">
        <f>INPUT!R54</f>
        <v>ABS</v>
      </c>
      <c r="N54" s="37" t="str">
        <f>INPUT!T54</f>
        <v>ABS</v>
      </c>
      <c r="O54" s="46" t="str">
        <f>INPUT!S54</f>
        <v>ABS</v>
      </c>
      <c r="P54" s="202" t="str">
        <f>INPUT!U54</f>
        <v>0051</v>
      </c>
      <c r="Q54" s="37" t="str">
        <f>INPUT!W54</f>
        <v>ABS</v>
      </c>
      <c r="R54" s="37" t="str">
        <f>INPUT!Y54</f>
        <v>ABS</v>
      </c>
      <c r="S54" s="37" t="str">
        <f>INPUT!AA54</f>
        <v>ABS</v>
      </c>
      <c r="T54" s="38" t="str">
        <f>INPUT!Z54</f>
        <v>ABS</v>
      </c>
      <c r="U54" s="209">
        <f>INPUT!AB54</f>
        <v>0</v>
      </c>
      <c r="V54" s="37" t="str">
        <f>INPUT!AD54</f>
        <v>ABS</v>
      </c>
      <c r="W54" s="37" t="str">
        <f>INPUT!AF54</f>
        <v>ABS</v>
      </c>
      <c r="X54" s="37" t="str">
        <f>INPUT!AH54</f>
        <v>ABS</v>
      </c>
      <c r="Y54" s="46" t="str">
        <f>INPUT!AG54</f>
        <v>ABS</v>
      </c>
      <c r="Z54" s="209">
        <f>INPUT!AI54</f>
        <v>0</v>
      </c>
      <c r="AA54" s="37" t="str">
        <f>INPUT!AK54</f>
        <v>ABS</v>
      </c>
      <c r="AB54" s="37" t="str">
        <f>INPUT!AM54</f>
        <v>ABS</v>
      </c>
      <c r="AC54" s="37" t="str">
        <f>INPUT!AO54</f>
        <v>ABS</v>
      </c>
      <c r="AD54" s="46" t="str">
        <f>INPUT!AN54</f>
        <v>ABS</v>
      </c>
      <c r="AE54" s="204">
        <f>INPUT!AP54</f>
        <v>0</v>
      </c>
      <c r="AF54" s="37" t="str">
        <f>INPUT!AR54</f>
        <v>ABS</v>
      </c>
      <c r="AG54" s="37" t="str">
        <f>INPUT!AT54</f>
        <v>ABS</v>
      </c>
      <c r="AH54" s="37" t="str">
        <f>INPUT!AV54</f>
        <v>ABS</v>
      </c>
      <c r="AI54" s="38" t="str">
        <f>INPUT!AU54</f>
        <v>ABS</v>
      </c>
      <c r="AJ54" s="40" t="str">
        <f t="shared" si="0"/>
        <v>-</v>
      </c>
      <c r="AK54" s="211">
        <f>INPUT!AX54</f>
        <v>0</v>
      </c>
      <c r="AL54" s="37" t="str">
        <f>INPUT!AZ54</f>
        <v>ABS</v>
      </c>
      <c r="AM54" s="37" t="str">
        <f>INPUT!BB54</f>
        <v>ABS</v>
      </c>
      <c r="AN54" s="37" t="str">
        <f>INPUT!BD54</f>
        <v>ABS</v>
      </c>
      <c r="AO54" s="212" t="str">
        <f>INPUT!BC54</f>
        <v>ABS</v>
      </c>
      <c r="AP54" s="41" t="str">
        <f t="shared" si="1"/>
        <v/>
      </c>
      <c r="AQ54" s="41" t="str">
        <f t="shared" si="2"/>
        <v>ABS</v>
      </c>
      <c r="AR54" s="41" t="str">
        <f t="shared" si="3"/>
        <v/>
      </c>
      <c r="AS54" s="30"/>
      <c r="AT54" s="30"/>
      <c r="AU54" s="30"/>
      <c r="AV54" s="30"/>
      <c r="AX54" s="114" t="str">
        <f>AJ54&amp;"_"&amp;COUNTIF($AJ$5:AJ54,AJ54)</f>
        <v>-_44</v>
      </c>
    </row>
    <row r="55" spans="1:50">
      <c r="A55" s="112"/>
      <c r="B55" s="44">
        <f>INPUT!F55</f>
        <v>0</v>
      </c>
      <c r="C55" s="50">
        <f>INPUT!C55</f>
        <v>0</v>
      </c>
      <c r="D55" s="130">
        <f>INPUT!D55</f>
        <v>0</v>
      </c>
      <c r="E55" s="51">
        <f>INPUT!E55</f>
        <v>0</v>
      </c>
      <c r="F55" s="39" t="str">
        <f>INPUT!G55</f>
        <v>0011</v>
      </c>
      <c r="G55" s="37" t="str">
        <f>INPUT!I55</f>
        <v>ABS</v>
      </c>
      <c r="H55" s="37" t="str">
        <f>INPUT!K55</f>
        <v>ABS</v>
      </c>
      <c r="I55" s="37" t="str">
        <f>INPUT!M55</f>
        <v>ABS</v>
      </c>
      <c r="J55" s="38" t="str">
        <f>INPUT!L55</f>
        <v>ABS</v>
      </c>
      <c r="K55" s="205" t="str">
        <f>INPUT!N55</f>
        <v>0031</v>
      </c>
      <c r="L55" s="37" t="str">
        <f>INPUT!P55</f>
        <v>ABS</v>
      </c>
      <c r="M55" s="37" t="str">
        <f>INPUT!R55</f>
        <v>ABS</v>
      </c>
      <c r="N55" s="37" t="str">
        <f>INPUT!T55</f>
        <v>ABS</v>
      </c>
      <c r="O55" s="46" t="str">
        <f>INPUT!S55</f>
        <v>ABS</v>
      </c>
      <c r="P55" s="202" t="str">
        <f>INPUT!U55</f>
        <v>0051</v>
      </c>
      <c r="Q55" s="37" t="str">
        <f>INPUT!W55</f>
        <v>ABS</v>
      </c>
      <c r="R55" s="37" t="str">
        <f>INPUT!Y55</f>
        <v>ABS</v>
      </c>
      <c r="S55" s="37" t="str">
        <f>INPUT!AA55</f>
        <v>ABS</v>
      </c>
      <c r="T55" s="38" t="str">
        <f>INPUT!Z55</f>
        <v>ABS</v>
      </c>
      <c r="U55" s="209">
        <f>INPUT!AB55</f>
        <v>0</v>
      </c>
      <c r="V55" s="37" t="str">
        <f>INPUT!AD55</f>
        <v>ABS</v>
      </c>
      <c r="W55" s="37" t="str">
        <f>INPUT!AF55</f>
        <v>ABS</v>
      </c>
      <c r="X55" s="37" t="str">
        <f>INPUT!AH55</f>
        <v>ABS</v>
      </c>
      <c r="Y55" s="46" t="str">
        <f>INPUT!AG55</f>
        <v>ABS</v>
      </c>
      <c r="Z55" s="209">
        <f>INPUT!AI55</f>
        <v>0</v>
      </c>
      <c r="AA55" s="37" t="str">
        <f>INPUT!AK55</f>
        <v>ABS</v>
      </c>
      <c r="AB55" s="37" t="str">
        <f>INPUT!AM55</f>
        <v>ABS</v>
      </c>
      <c r="AC55" s="37" t="str">
        <f>INPUT!AO55</f>
        <v>ABS</v>
      </c>
      <c r="AD55" s="46" t="str">
        <f>INPUT!AN55</f>
        <v>ABS</v>
      </c>
      <c r="AE55" s="204">
        <f>INPUT!AP55</f>
        <v>0</v>
      </c>
      <c r="AF55" s="37" t="str">
        <f>INPUT!AR55</f>
        <v>ABS</v>
      </c>
      <c r="AG55" s="37" t="str">
        <f>INPUT!AT55</f>
        <v>ABS</v>
      </c>
      <c r="AH55" s="37" t="str">
        <f>INPUT!AV55</f>
        <v>ABS</v>
      </c>
      <c r="AI55" s="38" t="str">
        <f>INPUT!AU55</f>
        <v>ABS</v>
      </c>
      <c r="AJ55" s="40" t="str">
        <f t="shared" si="0"/>
        <v>-</v>
      </c>
      <c r="AK55" s="211">
        <f>INPUT!AX55</f>
        <v>0</v>
      </c>
      <c r="AL55" s="37" t="str">
        <f>INPUT!AZ55</f>
        <v>ABS</v>
      </c>
      <c r="AM55" s="37" t="str">
        <f>INPUT!BB55</f>
        <v>ABS</v>
      </c>
      <c r="AN55" s="37" t="str">
        <f>INPUT!BD55</f>
        <v>ABS</v>
      </c>
      <c r="AO55" s="212" t="str">
        <f>INPUT!BC55</f>
        <v>ABS</v>
      </c>
      <c r="AP55" s="41" t="str">
        <f t="shared" si="1"/>
        <v/>
      </c>
      <c r="AQ55" s="41" t="str">
        <f t="shared" si="2"/>
        <v>ABS</v>
      </c>
      <c r="AR55" s="41" t="str">
        <f t="shared" si="3"/>
        <v/>
      </c>
      <c r="AS55" s="30"/>
      <c r="AT55" s="30"/>
      <c r="AU55" s="30"/>
      <c r="AV55" s="30"/>
      <c r="AX55" s="114" t="str">
        <f>AJ55&amp;"_"&amp;COUNTIF($AJ$5:AJ55,AJ55)</f>
        <v>-_45</v>
      </c>
    </row>
    <row r="56" spans="1:50">
      <c r="A56" s="112"/>
      <c r="B56" s="44">
        <f>INPUT!F56</f>
        <v>0</v>
      </c>
      <c r="C56" s="50">
        <f>INPUT!C56</f>
        <v>0</v>
      </c>
      <c r="D56" s="130">
        <f>INPUT!D56</f>
        <v>0</v>
      </c>
      <c r="E56" s="51">
        <f>INPUT!E56</f>
        <v>0</v>
      </c>
      <c r="F56" s="39" t="str">
        <f>INPUT!G56</f>
        <v>0011</v>
      </c>
      <c r="G56" s="37" t="str">
        <f>INPUT!I56</f>
        <v>ABS</v>
      </c>
      <c r="H56" s="37" t="str">
        <f>INPUT!K56</f>
        <v>ABS</v>
      </c>
      <c r="I56" s="37" t="str">
        <f>INPUT!M56</f>
        <v>ABS</v>
      </c>
      <c r="J56" s="38" t="str">
        <f>INPUT!L56</f>
        <v>ABS</v>
      </c>
      <c r="K56" s="205" t="str">
        <f>INPUT!N56</f>
        <v>0031</v>
      </c>
      <c r="L56" s="37" t="str">
        <f>INPUT!P56</f>
        <v>ABS</v>
      </c>
      <c r="M56" s="37" t="str">
        <f>INPUT!R56</f>
        <v>ABS</v>
      </c>
      <c r="N56" s="37" t="str">
        <f>INPUT!T56</f>
        <v>ABS</v>
      </c>
      <c r="O56" s="46" t="str">
        <f>INPUT!S56</f>
        <v>ABS</v>
      </c>
      <c r="P56" s="202" t="str">
        <f>INPUT!U56</f>
        <v>0051</v>
      </c>
      <c r="Q56" s="37" t="str">
        <f>INPUT!W56</f>
        <v>ABS</v>
      </c>
      <c r="R56" s="37" t="str">
        <f>INPUT!Y56</f>
        <v>ABS</v>
      </c>
      <c r="S56" s="37" t="str">
        <f>INPUT!AA56</f>
        <v>ABS</v>
      </c>
      <c r="T56" s="38" t="str">
        <f>INPUT!Z56</f>
        <v>ABS</v>
      </c>
      <c r="U56" s="209">
        <f>INPUT!AB56</f>
        <v>0</v>
      </c>
      <c r="V56" s="37" t="str">
        <f>INPUT!AD56</f>
        <v>ABS</v>
      </c>
      <c r="W56" s="37" t="str">
        <f>INPUT!AF56</f>
        <v>ABS</v>
      </c>
      <c r="X56" s="37" t="str">
        <f>INPUT!AH56</f>
        <v>ABS</v>
      </c>
      <c r="Y56" s="46" t="str">
        <f>INPUT!AG56</f>
        <v>ABS</v>
      </c>
      <c r="Z56" s="209">
        <f>INPUT!AI56</f>
        <v>0</v>
      </c>
      <c r="AA56" s="37" t="str">
        <f>INPUT!AK56</f>
        <v>ABS</v>
      </c>
      <c r="AB56" s="37" t="str">
        <f>INPUT!AM56</f>
        <v>ABS</v>
      </c>
      <c r="AC56" s="37" t="str">
        <f>INPUT!AO56</f>
        <v>ABS</v>
      </c>
      <c r="AD56" s="46" t="str">
        <f>INPUT!AN56</f>
        <v>ABS</v>
      </c>
      <c r="AE56" s="204">
        <f>INPUT!AP56</f>
        <v>0</v>
      </c>
      <c r="AF56" s="37" t="str">
        <f>INPUT!AR56</f>
        <v>ABS</v>
      </c>
      <c r="AG56" s="37" t="str">
        <f>INPUT!AT56</f>
        <v>ABS</v>
      </c>
      <c r="AH56" s="37" t="str">
        <f>INPUT!AV56</f>
        <v>ABS</v>
      </c>
      <c r="AI56" s="38" t="str">
        <f>INPUT!AU56</f>
        <v>ABS</v>
      </c>
      <c r="AJ56" s="40" t="str">
        <f t="shared" si="0"/>
        <v>-</v>
      </c>
      <c r="AK56" s="211">
        <f>INPUT!AX56</f>
        <v>0</v>
      </c>
      <c r="AL56" s="37" t="str">
        <f>INPUT!AZ56</f>
        <v>ABS</v>
      </c>
      <c r="AM56" s="37" t="str">
        <f>INPUT!BB56</f>
        <v>ABS</v>
      </c>
      <c r="AN56" s="37" t="str">
        <f>INPUT!BD56</f>
        <v>ABS</v>
      </c>
      <c r="AO56" s="212" t="str">
        <f>INPUT!BC56</f>
        <v>ABS</v>
      </c>
      <c r="AP56" s="41" t="str">
        <f t="shared" si="1"/>
        <v/>
      </c>
      <c r="AQ56" s="41" t="str">
        <f t="shared" si="2"/>
        <v>ABS</v>
      </c>
      <c r="AR56" s="41" t="str">
        <f t="shared" si="3"/>
        <v/>
      </c>
      <c r="AS56" s="30"/>
      <c r="AT56" s="30"/>
      <c r="AU56" s="30"/>
      <c r="AV56" s="30"/>
      <c r="AX56" s="114" t="str">
        <f>AJ56&amp;"_"&amp;COUNTIF($AJ$5:AJ56,AJ56)</f>
        <v>-_46</v>
      </c>
    </row>
    <row r="57" spans="1:50">
      <c r="A57" s="112"/>
      <c r="B57" s="44">
        <f>INPUT!F57</f>
        <v>0</v>
      </c>
      <c r="C57" s="50">
        <f>INPUT!C57</f>
        <v>0</v>
      </c>
      <c r="D57" s="130">
        <f>INPUT!D57</f>
        <v>0</v>
      </c>
      <c r="E57" s="51">
        <f>INPUT!E57</f>
        <v>0</v>
      </c>
      <c r="F57" s="39" t="str">
        <f>INPUT!G57</f>
        <v>0011</v>
      </c>
      <c r="G57" s="37" t="str">
        <f>INPUT!I57</f>
        <v>ABS</v>
      </c>
      <c r="H57" s="37" t="str">
        <f>INPUT!K57</f>
        <v>ABS</v>
      </c>
      <c r="I57" s="37" t="str">
        <f>INPUT!M57</f>
        <v>ABS</v>
      </c>
      <c r="J57" s="38" t="str">
        <f>INPUT!L57</f>
        <v>ABS</v>
      </c>
      <c r="K57" s="205" t="str">
        <f>INPUT!N57</f>
        <v>0031</v>
      </c>
      <c r="L57" s="37" t="str">
        <f>INPUT!P57</f>
        <v>ABS</v>
      </c>
      <c r="M57" s="37" t="str">
        <f>INPUT!R57</f>
        <v>ABS</v>
      </c>
      <c r="N57" s="37" t="str">
        <f>INPUT!T57</f>
        <v>ABS</v>
      </c>
      <c r="O57" s="46" t="str">
        <f>INPUT!S57</f>
        <v>ABS</v>
      </c>
      <c r="P57" s="202" t="str">
        <f>INPUT!U57</f>
        <v>0051</v>
      </c>
      <c r="Q57" s="37" t="str">
        <f>INPUT!W57</f>
        <v>ABS</v>
      </c>
      <c r="R57" s="37" t="str">
        <f>INPUT!Y57</f>
        <v>ABS</v>
      </c>
      <c r="S57" s="37" t="str">
        <f>INPUT!AA57</f>
        <v>ABS</v>
      </c>
      <c r="T57" s="38" t="str">
        <f>INPUT!Z57</f>
        <v>ABS</v>
      </c>
      <c r="U57" s="209">
        <f>INPUT!AB57</f>
        <v>0</v>
      </c>
      <c r="V57" s="37" t="str">
        <f>INPUT!AD57</f>
        <v>ABS</v>
      </c>
      <c r="W57" s="37" t="str">
        <f>INPUT!AF57</f>
        <v>ABS</v>
      </c>
      <c r="X57" s="37" t="str">
        <f>INPUT!AH57</f>
        <v>ABS</v>
      </c>
      <c r="Y57" s="46" t="str">
        <f>INPUT!AG57</f>
        <v>ABS</v>
      </c>
      <c r="Z57" s="209">
        <f>INPUT!AI57</f>
        <v>0</v>
      </c>
      <c r="AA57" s="37" t="str">
        <f>INPUT!AK57</f>
        <v>ABS</v>
      </c>
      <c r="AB57" s="37" t="str">
        <f>INPUT!AM57</f>
        <v>ABS</v>
      </c>
      <c r="AC57" s="37" t="str">
        <f>INPUT!AO57</f>
        <v>ABS</v>
      </c>
      <c r="AD57" s="46" t="str">
        <f>INPUT!AN57</f>
        <v>ABS</v>
      </c>
      <c r="AE57" s="204">
        <f>INPUT!AP57</f>
        <v>0</v>
      </c>
      <c r="AF57" s="37" t="str">
        <f>INPUT!AR57</f>
        <v>ABS</v>
      </c>
      <c r="AG57" s="37" t="str">
        <f>INPUT!AT57</f>
        <v>ABS</v>
      </c>
      <c r="AH57" s="37" t="str">
        <f>INPUT!AV57</f>
        <v>ABS</v>
      </c>
      <c r="AI57" s="38" t="str">
        <f>INPUT!AU57</f>
        <v>ABS</v>
      </c>
      <c r="AJ57" s="40" t="str">
        <f t="shared" si="0"/>
        <v>-</v>
      </c>
      <c r="AK57" s="211">
        <f>INPUT!AX57</f>
        <v>0</v>
      </c>
      <c r="AL57" s="37" t="str">
        <f>INPUT!AZ57</f>
        <v>ABS</v>
      </c>
      <c r="AM57" s="37" t="str">
        <f>INPUT!BB57</f>
        <v>ABS</v>
      </c>
      <c r="AN57" s="37" t="str">
        <f>INPUT!BD57</f>
        <v>ABS</v>
      </c>
      <c r="AO57" s="212" t="str">
        <f>INPUT!BC57</f>
        <v>ABS</v>
      </c>
      <c r="AP57" s="41" t="str">
        <f t="shared" si="1"/>
        <v/>
      </c>
      <c r="AQ57" s="41" t="str">
        <f t="shared" si="2"/>
        <v>ABS</v>
      </c>
      <c r="AR57" s="41" t="str">
        <f t="shared" si="3"/>
        <v/>
      </c>
      <c r="AS57" s="30"/>
      <c r="AT57" s="30"/>
      <c r="AU57" s="30"/>
      <c r="AV57" s="30"/>
      <c r="AX57" s="114" t="str">
        <f>AJ57&amp;"_"&amp;COUNTIF($AJ$5:AJ57,AJ57)</f>
        <v>-_47</v>
      </c>
    </row>
    <row r="58" spans="1:50">
      <c r="A58" s="112"/>
      <c r="B58" s="44">
        <f>INPUT!F58</f>
        <v>0</v>
      </c>
      <c r="C58" s="50">
        <f>INPUT!C58</f>
        <v>0</v>
      </c>
      <c r="D58" s="130">
        <f>INPUT!D58</f>
        <v>0</v>
      </c>
      <c r="E58" s="51">
        <f>INPUT!E58</f>
        <v>0</v>
      </c>
      <c r="F58" s="39" t="str">
        <f>INPUT!G58</f>
        <v>0011</v>
      </c>
      <c r="G58" s="37" t="str">
        <f>INPUT!I58</f>
        <v>ABS</v>
      </c>
      <c r="H58" s="37" t="str">
        <f>INPUT!K58</f>
        <v>ABS</v>
      </c>
      <c r="I58" s="37" t="str">
        <f>INPUT!M58</f>
        <v>ABS</v>
      </c>
      <c r="J58" s="38" t="str">
        <f>INPUT!L58</f>
        <v>ABS</v>
      </c>
      <c r="K58" s="205" t="str">
        <f>INPUT!N58</f>
        <v>0031</v>
      </c>
      <c r="L58" s="37" t="str">
        <f>INPUT!P58</f>
        <v>ABS</v>
      </c>
      <c r="M58" s="37" t="str">
        <f>INPUT!R58</f>
        <v>ABS</v>
      </c>
      <c r="N58" s="37" t="str">
        <f>INPUT!T58</f>
        <v>ABS</v>
      </c>
      <c r="O58" s="46" t="str">
        <f>INPUT!S58</f>
        <v>ABS</v>
      </c>
      <c r="P58" s="202" t="str">
        <f>INPUT!U58</f>
        <v>0051</v>
      </c>
      <c r="Q58" s="37" t="str">
        <f>INPUT!W58</f>
        <v>ABS</v>
      </c>
      <c r="R58" s="37" t="str">
        <f>INPUT!Y58</f>
        <v>ABS</v>
      </c>
      <c r="S58" s="37" t="str">
        <f>INPUT!AA58</f>
        <v>ABS</v>
      </c>
      <c r="T58" s="38" t="str">
        <f>INPUT!Z58</f>
        <v>ABS</v>
      </c>
      <c r="U58" s="209">
        <f>INPUT!AB58</f>
        <v>0</v>
      </c>
      <c r="V58" s="37" t="str">
        <f>INPUT!AD58</f>
        <v>ABS</v>
      </c>
      <c r="W58" s="37" t="str">
        <f>INPUT!AF58</f>
        <v>ABS</v>
      </c>
      <c r="X58" s="37" t="str">
        <f>INPUT!AH58</f>
        <v>ABS</v>
      </c>
      <c r="Y58" s="46" t="str">
        <f>INPUT!AG58</f>
        <v>ABS</v>
      </c>
      <c r="Z58" s="209">
        <f>INPUT!AI58</f>
        <v>0</v>
      </c>
      <c r="AA58" s="37" t="str">
        <f>INPUT!AK58</f>
        <v>ABS</v>
      </c>
      <c r="AB58" s="37" t="str">
        <f>INPUT!AM58</f>
        <v>ABS</v>
      </c>
      <c r="AC58" s="37" t="str">
        <f>INPUT!AO58</f>
        <v>ABS</v>
      </c>
      <c r="AD58" s="46" t="str">
        <f>INPUT!AN58</f>
        <v>ABS</v>
      </c>
      <c r="AE58" s="204">
        <f>INPUT!AP58</f>
        <v>0</v>
      </c>
      <c r="AF58" s="37" t="str">
        <f>INPUT!AR58</f>
        <v>ABS</v>
      </c>
      <c r="AG58" s="37" t="str">
        <f>INPUT!AT58</f>
        <v>ABS</v>
      </c>
      <c r="AH58" s="37" t="str">
        <f>INPUT!AV58</f>
        <v>ABS</v>
      </c>
      <c r="AI58" s="38" t="str">
        <f>INPUT!AU58</f>
        <v>ABS</v>
      </c>
      <c r="AJ58" s="40" t="str">
        <f t="shared" si="0"/>
        <v>-</v>
      </c>
      <c r="AK58" s="211">
        <f>INPUT!AX58</f>
        <v>0</v>
      </c>
      <c r="AL58" s="37" t="str">
        <f>INPUT!AZ58</f>
        <v>ABS</v>
      </c>
      <c r="AM58" s="37" t="str">
        <f>INPUT!BB58</f>
        <v>ABS</v>
      </c>
      <c r="AN58" s="37" t="str">
        <f>INPUT!BD58</f>
        <v>ABS</v>
      </c>
      <c r="AO58" s="212" t="str">
        <f>INPUT!BC58</f>
        <v>ABS</v>
      </c>
      <c r="AP58" s="41" t="str">
        <f t="shared" si="1"/>
        <v/>
      </c>
      <c r="AQ58" s="41" t="str">
        <f t="shared" si="2"/>
        <v>ABS</v>
      </c>
      <c r="AR58" s="41" t="str">
        <f t="shared" si="3"/>
        <v/>
      </c>
      <c r="AS58" s="30"/>
      <c r="AT58" s="30"/>
      <c r="AU58" s="30"/>
      <c r="AV58" s="30"/>
      <c r="AX58" s="114" t="str">
        <f>AJ58&amp;"_"&amp;COUNTIF($AJ$5:AJ58,AJ58)</f>
        <v>-_48</v>
      </c>
    </row>
    <row r="59" spans="1:50">
      <c r="A59" s="112"/>
      <c r="B59" s="44">
        <f>INPUT!F59</f>
        <v>0</v>
      </c>
      <c r="C59" s="50">
        <f>INPUT!C59</f>
        <v>0</v>
      </c>
      <c r="D59" s="130">
        <f>INPUT!D59</f>
        <v>0</v>
      </c>
      <c r="E59" s="51">
        <f>INPUT!E59</f>
        <v>0</v>
      </c>
      <c r="F59" s="39" t="str">
        <f>INPUT!G59</f>
        <v>0011</v>
      </c>
      <c r="G59" s="37" t="str">
        <f>INPUT!I59</f>
        <v>ABS</v>
      </c>
      <c r="H59" s="37" t="str">
        <f>INPUT!K59</f>
        <v>ABS</v>
      </c>
      <c r="I59" s="37" t="str">
        <f>INPUT!M59</f>
        <v>ABS</v>
      </c>
      <c r="J59" s="38" t="str">
        <f>INPUT!L59</f>
        <v>ABS</v>
      </c>
      <c r="K59" s="205" t="str">
        <f>INPUT!N59</f>
        <v>0031</v>
      </c>
      <c r="L59" s="37" t="str">
        <f>INPUT!P59</f>
        <v>ABS</v>
      </c>
      <c r="M59" s="37" t="str">
        <f>INPUT!R59</f>
        <v>ABS</v>
      </c>
      <c r="N59" s="37" t="str">
        <f>INPUT!T59</f>
        <v>ABS</v>
      </c>
      <c r="O59" s="46" t="str">
        <f>INPUT!S59</f>
        <v>ABS</v>
      </c>
      <c r="P59" s="202" t="str">
        <f>INPUT!U59</f>
        <v>0051</v>
      </c>
      <c r="Q59" s="37" t="str">
        <f>INPUT!W59</f>
        <v>ABS</v>
      </c>
      <c r="R59" s="37" t="str">
        <f>INPUT!Y59</f>
        <v>ABS</v>
      </c>
      <c r="S59" s="37" t="str">
        <f>INPUT!AA59</f>
        <v>ABS</v>
      </c>
      <c r="T59" s="38" t="str">
        <f>INPUT!Z59</f>
        <v>ABS</v>
      </c>
      <c r="U59" s="209">
        <f>INPUT!AB59</f>
        <v>0</v>
      </c>
      <c r="V59" s="37" t="str">
        <f>INPUT!AD59</f>
        <v>ABS</v>
      </c>
      <c r="W59" s="37" t="str">
        <f>INPUT!AF59</f>
        <v>ABS</v>
      </c>
      <c r="X59" s="37" t="str">
        <f>INPUT!AH59</f>
        <v>ABS</v>
      </c>
      <c r="Y59" s="46" t="str">
        <f>INPUT!AG59</f>
        <v>ABS</v>
      </c>
      <c r="Z59" s="209">
        <f>INPUT!AI59</f>
        <v>0</v>
      </c>
      <c r="AA59" s="37" t="str">
        <f>INPUT!AK59</f>
        <v>ABS</v>
      </c>
      <c r="AB59" s="37" t="str">
        <f>INPUT!AM59</f>
        <v>ABS</v>
      </c>
      <c r="AC59" s="37" t="str">
        <f>INPUT!AO59</f>
        <v>ABS</v>
      </c>
      <c r="AD59" s="46" t="str">
        <f>INPUT!AN59</f>
        <v>ABS</v>
      </c>
      <c r="AE59" s="204">
        <f>INPUT!AP59</f>
        <v>0</v>
      </c>
      <c r="AF59" s="37" t="str">
        <f>INPUT!AR59</f>
        <v>ABS</v>
      </c>
      <c r="AG59" s="37" t="str">
        <f>INPUT!AT59</f>
        <v>ABS</v>
      </c>
      <c r="AH59" s="37" t="str">
        <f>INPUT!AV59</f>
        <v>ABS</v>
      </c>
      <c r="AI59" s="38" t="str">
        <f>INPUT!AU59</f>
        <v>ABS</v>
      </c>
      <c r="AJ59" s="40" t="str">
        <f t="shared" si="0"/>
        <v>-</v>
      </c>
      <c r="AK59" s="211">
        <f>INPUT!AX59</f>
        <v>0</v>
      </c>
      <c r="AL59" s="37" t="str">
        <f>INPUT!AZ59</f>
        <v>ABS</v>
      </c>
      <c r="AM59" s="37" t="str">
        <f>INPUT!BB59</f>
        <v>ABS</v>
      </c>
      <c r="AN59" s="37" t="str">
        <f>INPUT!BD59</f>
        <v>ABS</v>
      </c>
      <c r="AO59" s="212" t="str">
        <f>INPUT!BC59</f>
        <v>ABS</v>
      </c>
      <c r="AP59" s="41" t="str">
        <f t="shared" si="1"/>
        <v/>
      </c>
      <c r="AQ59" s="41" t="str">
        <f t="shared" si="2"/>
        <v>ABS</v>
      </c>
      <c r="AR59" s="41" t="str">
        <f t="shared" si="3"/>
        <v/>
      </c>
      <c r="AS59" s="30"/>
      <c r="AT59" s="30"/>
      <c r="AU59" s="30"/>
      <c r="AV59" s="30"/>
      <c r="AX59" s="114" t="str">
        <f>AJ59&amp;"_"&amp;COUNTIF($AJ$5:AJ59,AJ59)</f>
        <v>-_49</v>
      </c>
    </row>
    <row r="60" spans="1:50">
      <c r="A60" s="112"/>
      <c r="B60" s="44">
        <f>INPUT!F60</f>
        <v>0</v>
      </c>
      <c r="C60" s="50">
        <f>INPUT!C60</f>
        <v>0</v>
      </c>
      <c r="D60" s="130">
        <f>INPUT!D60</f>
        <v>0</v>
      </c>
      <c r="E60" s="51">
        <f>INPUT!E60</f>
        <v>0</v>
      </c>
      <c r="F60" s="39" t="str">
        <f>INPUT!G60</f>
        <v>0011</v>
      </c>
      <c r="G60" s="37" t="str">
        <f>INPUT!I60</f>
        <v>ABS</v>
      </c>
      <c r="H60" s="37" t="str">
        <f>INPUT!K60</f>
        <v>ABS</v>
      </c>
      <c r="I60" s="37" t="str">
        <f>INPUT!M60</f>
        <v>ABS</v>
      </c>
      <c r="J60" s="38" t="str">
        <f>INPUT!L60</f>
        <v>ABS</v>
      </c>
      <c r="K60" s="205" t="str">
        <f>INPUT!N60</f>
        <v>0031</v>
      </c>
      <c r="L60" s="37" t="str">
        <f>INPUT!P60</f>
        <v>ABS</v>
      </c>
      <c r="M60" s="37" t="str">
        <f>INPUT!R60</f>
        <v>ABS</v>
      </c>
      <c r="N60" s="37" t="str">
        <f>INPUT!T60</f>
        <v>ABS</v>
      </c>
      <c r="O60" s="46" t="str">
        <f>INPUT!S60</f>
        <v>ABS</v>
      </c>
      <c r="P60" s="202" t="str">
        <f>INPUT!U60</f>
        <v>0051</v>
      </c>
      <c r="Q60" s="37" t="str">
        <f>INPUT!W60</f>
        <v>ABS</v>
      </c>
      <c r="R60" s="37" t="str">
        <f>INPUT!Y60</f>
        <v>ABS</v>
      </c>
      <c r="S60" s="37" t="str">
        <f>INPUT!AA60</f>
        <v>ABS</v>
      </c>
      <c r="T60" s="38" t="str">
        <f>INPUT!Z60</f>
        <v>ABS</v>
      </c>
      <c r="U60" s="209">
        <f>INPUT!AB60</f>
        <v>0</v>
      </c>
      <c r="V60" s="37" t="str">
        <f>INPUT!AD60</f>
        <v>ABS</v>
      </c>
      <c r="W60" s="37" t="str">
        <f>INPUT!AF60</f>
        <v>ABS</v>
      </c>
      <c r="X60" s="37" t="str">
        <f>INPUT!AH60</f>
        <v>ABS</v>
      </c>
      <c r="Y60" s="46" t="str">
        <f>INPUT!AG60</f>
        <v>ABS</v>
      </c>
      <c r="Z60" s="209">
        <f>INPUT!AI60</f>
        <v>0</v>
      </c>
      <c r="AA60" s="37" t="str">
        <f>INPUT!AK60</f>
        <v>ABS</v>
      </c>
      <c r="AB60" s="37" t="str">
        <f>INPUT!AM60</f>
        <v>ABS</v>
      </c>
      <c r="AC60" s="37" t="str">
        <f>INPUT!AO60</f>
        <v>ABS</v>
      </c>
      <c r="AD60" s="46" t="str">
        <f>INPUT!AN60</f>
        <v>ABS</v>
      </c>
      <c r="AE60" s="204">
        <f>INPUT!AP60</f>
        <v>0</v>
      </c>
      <c r="AF60" s="37" t="str">
        <f>INPUT!AR60</f>
        <v>ABS</v>
      </c>
      <c r="AG60" s="37" t="str">
        <f>INPUT!AT60</f>
        <v>ABS</v>
      </c>
      <c r="AH60" s="37" t="str">
        <f>INPUT!AV60</f>
        <v>ABS</v>
      </c>
      <c r="AI60" s="38" t="str">
        <f>INPUT!AU60</f>
        <v>ABS</v>
      </c>
      <c r="AJ60" s="40" t="str">
        <f t="shared" si="0"/>
        <v>-</v>
      </c>
      <c r="AK60" s="211">
        <f>INPUT!AX60</f>
        <v>0</v>
      </c>
      <c r="AL60" s="37" t="str">
        <f>INPUT!AZ60</f>
        <v>ABS</v>
      </c>
      <c r="AM60" s="37" t="str">
        <f>INPUT!BB60</f>
        <v>ABS</v>
      </c>
      <c r="AN60" s="37" t="str">
        <f>INPUT!BD60</f>
        <v>ABS</v>
      </c>
      <c r="AO60" s="212" t="str">
        <f>INPUT!BC60</f>
        <v>ABS</v>
      </c>
      <c r="AP60" s="41" t="str">
        <f t="shared" si="1"/>
        <v/>
      </c>
      <c r="AQ60" s="41" t="str">
        <f t="shared" si="2"/>
        <v>ABS</v>
      </c>
      <c r="AR60" s="41" t="str">
        <f t="shared" si="3"/>
        <v/>
      </c>
      <c r="AS60" s="30"/>
      <c r="AT60" s="30"/>
      <c r="AU60" s="30"/>
      <c r="AV60" s="30"/>
      <c r="AX60" s="114" t="str">
        <f>AJ60&amp;"_"&amp;COUNTIF($AJ$5:AJ60,AJ60)</f>
        <v>-_50</v>
      </c>
    </row>
    <row r="61" spans="1:50">
      <c r="A61" s="112"/>
      <c r="B61" s="44">
        <f>INPUT!F61</f>
        <v>0</v>
      </c>
      <c r="C61" s="50">
        <f>INPUT!C61</f>
        <v>0</v>
      </c>
      <c r="D61" s="130">
        <f>INPUT!D61</f>
        <v>0</v>
      </c>
      <c r="E61" s="51">
        <f>INPUT!E61</f>
        <v>0</v>
      </c>
      <c r="F61" s="39" t="str">
        <f>INPUT!G61</f>
        <v>0011</v>
      </c>
      <c r="G61" s="37" t="str">
        <f>INPUT!I61</f>
        <v>ABS</v>
      </c>
      <c r="H61" s="37" t="str">
        <f>INPUT!K61</f>
        <v>ABS</v>
      </c>
      <c r="I61" s="37" t="str">
        <f>INPUT!M61</f>
        <v>ABS</v>
      </c>
      <c r="J61" s="38" t="str">
        <f>INPUT!L61</f>
        <v>ABS</v>
      </c>
      <c r="K61" s="205" t="str">
        <f>INPUT!N61</f>
        <v>0031</v>
      </c>
      <c r="L61" s="37" t="str">
        <f>INPUT!P61</f>
        <v>ABS</v>
      </c>
      <c r="M61" s="37" t="str">
        <f>INPUT!R61</f>
        <v>ABS</v>
      </c>
      <c r="N61" s="37" t="str">
        <f>INPUT!T61</f>
        <v>ABS</v>
      </c>
      <c r="O61" s="46" t="str">
        <f>INPUT!S61</f>
        <v>ABS</v>
      </c>
      <c r="P61" s="202" t="str">
        <f>INPUT!U61</f>
        <v>0051</v>
      </c>
      <c r="Q61" s="37" t="str">
        <f>INPUT!W61</f>
        <v>ABS</v>
      </c>
      <c r="R61" s="37" t="str">
        <f>INPUT!Y61</f>
        <v>ABS</v>
      </c>
      <c r="S61" s="37" t="str">
        <f>INPUT!AA61</f>
        <v>ABS</v>
      </c>
      <c r="T61" s="38" t="str">
        <f>INPUT!Z61</f>
        <v>ABS</v>
      </c>
      <c r="U61" s="209">
        <f>INPUT!AB61</f>
        <v>0</v>
      </c>
      <c r="V61" s="37" t="str">
        <f>INPUT!AD61</f>
        <v>ABS</v>
      </c>
      <c r="W61" s="37" t="str">
        <f>INPUT!AF61</f>
        <v>ABS</v>
      </c>
      <c r="X61" s="37" t="str">
        <f>INPUT!AH61</f>
        <v>ABS</v>
      </c>
      <c r="Y61" s="46" t="str">
        <f>INPUT!AG61</f>
        <v>ABS</v>
      </c>
      <c r="Z61" s="209">
        <f>INPUT!AI61</f>
        <v>0</v>
      </c>
      <c r="AA61" s="37" t="str">
        <f>INPUT!AK61</f>
        <v>ABS</v>
      </c>
      <c r="AB61" s="37" t="str">
        <f>INPUT!AM61</f>
        <v>ABS</v>
      </c>
      <c r="AC61" s="37" t="str">
        <f>INPUT!AO61</f>
        <v>ABS</v>
      </c>
      <c r="AD61" s="46" t="str">
        <f>INPUT!AN61</f>
        <v>ABS</v>
      </c>
      <c r="AE61" s="204">
        <f>INPUT!AP61</f>
        <v>0</v>
      </c>
      <c r="AF61" s="37" t="str">
        <f>INPUT!AR61</f>
        <v>ABS</v>
      </c>
      <c r="AG61" s="37" t="str">
        <f>INPUT!AT61</f>
        <v>ABS</v>
      </c>
      <c r="AH61" s="37" t="str">
        <f>INPUT!AV61</f>
        <v>ABS</v>
      </c>
      <c r="AI61" s="38" t="str">
        <f>INPUT!AU61</f>
        <v>ABS</v>
      </c>
      <c r="AJ61" s="40" t="str">
        <f t="shared" si="0"/>
        <v>-</v>
      </c>
      <c r="AK61" s="211">
        <f>INPUT!AX61</f>
        <v>0</v>
      </c>
      <c r="AL61" s="37" t="str">
        <f>INPUT!AZ61</f>
        <v>ABS</v>
      </c>
      <c r="AM61" s="37" t="str">
        <f>INPUT!BB61</f>
        <v>ABS</v>
      </c>
      <c r="AN61" s="37" t="str">
        <f>INPUT!BD61</f>
        <v>ABS</v>
      </c>
      <c r="AO61" s="212" t="str">
        <f>INPUT!BC61</f>
        <v>ABS</v>
      </c>
      <c r="AP61" s="41" t="str">
        <f t="shared" si="1"/>
        <v/>
      </c>
      <c r="AQ61" s="41" t="str">
        <f t="shared" si="2"/>
        <v>ABS</v>
      </c>
      <c r="AR61" s="41" t="str">
        <f t="shared" si="3"/>
        <v/>
      </c>
      <c r="AS61" s="30"/>
      <c r="AT61" s="30"/>
      <c r="AU61" s="30"/>
      <c r="AV61" s="30"/>
      <c r="AX61" s="114" t="str">
        <f>AJ61&amp;"_"&amp;COUNTIF($AJ$5:AJ61,AJ61)</f>
        <v>-_51</v>
      </c>
    </row>
    <row r="62" spans="1:50">
      <c r="A62" s="112"/>
      <c r="B62" s="44">
        <f>INPUT!F62</f>
        <v>0</v>
      </c>
      <c r="C62" s="50">
        <f>INPUT!C62</f>
        <v>0</v>
      </c>
      <c r="D62" s="130">
        <f>INPUT!D62</f>
        <v>0</v>
      </c>
      <c r="E62" s="51">
        <f>INPUT!E62</f>
        <v>0</v>
      </c>
      <c r="F62" s="39" t="str">
        <f>INPUT!G62</f>
        <v>0011</v>
      </c>
      <c r="G62" s="37" t="str">
        <f>INPUT!I62</f>
        <v>ABS</v>
      </c>
      <c r="H62" s="37" t="str">
        <f>INPUT!K62</f>
        <v>ABS</v>
      </c>
      <c r="I62" s="37" t="str">
        <f>INPUT!M62</f>
        <v>ABS</v>
      </c>
      <c r="J62" s="38" t="str">
        <f>INPUT!L62</f>
        <v>ABS</v>
      </c>
      <c r="K62" s="205" t="str">
        <f>INPUT!N62</f>
        <v>0031</v>
      </c>
      <c r="L62" s="37" t="str">
        <f>INPUT!P62</f>
        <v>ABS</v>
      </c>
      <c r="M62" s="37" t="str">
        <f>INPUT!R62</f>
        <v>ABS</v>
      </c>
      <c r="N62" s="37" t="str">
        <f>INPUT!T62</f>
        <v>ABS</v>
      </c>
      <c r="O62" s="46" t="str">
        <f>INPUT!S62</f>
        <v>ABS</v>
      </c>
      <c r="P62" s="202" t="str">
        <f>INPUT!U62</f>
        <v>0051</v>
      </c>
      <c r="Q62" s="37" t="str">
        <f>INPUT!W62</f>
        <v>ABS</v>
      </c>
      <c r="R62" s="37" t="str">
        <f>INPUT!Y62</f>
        <v>ABS</v>
      </c>
      <c r="S62" s="37" t="str">
        <f>INPUT!AA62</f>
        <v>ABS</v>
      </c>
      <c r="T62" s="38" t="str">
        <f>INPUT!Z62</f>
        <v>ABS</v>
      </c>
      <c r="U62" s="209">
        <f>INPUT!AB62</f>
        <v>0</v>
      </c>
      <c r="V62" s="37" t="str">
        <f>INPUT!AD62</f>
        <v>ABS</v>
      </c>
      <c r="W62" s="37" t="str">
        <f>INPUT!AF62</f>
        <v>ABS</v>
      </c>
      <c r="X62" s="37" t="str">
        <f>INPUT!AH62</f>
        <v>ABS</v>
      </c>
      <c r="Y62" s="46" t="str">
        <f>INPUT!AG62</f>
        <v>ABS</v>
      </c>
      <c r="Z62" s="209">
        <f>INPUT!AI62</f>
        <v>0</v>
      </c>
      <c r="AA62" s="37" t="str">
        <f>INPUT!AK62</f>
        <v>ABS</v>
      </c>
      <c r="AB62" s="37" t="str">
        <f>INPUT!AM62</f>
        <v>ABS</v>
      </c>
      <c r="AC62" s="37" t="str">
        <f>INPUT!AO62</f>
        <v>ABS</v>
      </c>
      <c r="AD62" s="46" t="str">
        <f>INPUT!AN62</f>
        <v>ABS</v>
      </c>
      <c r="AE62" s="204">
        <f>INPUT!AP62</f>
        <v>0</v>
      </c>
      <c r="AF62" s="37" t="str">
        <f>INPUT!AR62</f>
        <v>ABS</v>
      </c>
      <c r="AG62" s="37" t="str">
        <f>INPUT!AT62</f>
        <v>ABS</v>
      </c>
      <c r="AH62" s="37" t="str">
        <f>INPUT!AV62</f>
        <v>ABS</v>
      </c>
      <c r="AI62" s="38" t="str">
        <f>INPUT!AU62</f>
        <v>ABS</v>
      </c>
      <c r="AJ62" s="40" t="str">
        <f t="shared" si="0"/>
        <v>-</v>
      </c>
      <c r="AK62" s="211">
        <f>INPUT!AX62</f>
        <v>0</v>
      </c>
      <c r="AL62" s="37" t="str">
        <f>INPUT!AZ62</f>
        <v>ABS</v>
      </c>
      <c r="AM62" s="37" t="str">
        <f>INPUT!BB62</f>
        <v>ABS</v>
      </c>
      <c r="AN62" s="37" t="str">
        <f>INPUT!BD62</f>
        <v>ABS</v>
      </c>
      <c r="AO62" s="212" t="str">
        <f>INPUT!BC62</f>
        <v>ABS</v>
      </c>
      <c r="AP62" s="41" t="str">
        <f t="shared" si="1"/>
        <v/>
      </c>
      <c r="AQ62" s="41" t="str">
        <f t="shared" si="2"/>
        <v>ABS</v>
      </c>
      <c r="AR62" s="41" t="str">
        <f t="shared" si="3"/>
        <v/>
      </c>
      <c r="AS62" s="30"/>
      <c r="AT62" s="30"/>
      <c r="AU62" s="30"/>
      <c r="AV62" s="30"/>
      <c r="AX62" s="114" t="str">
        <f>AJ62&amp;"_"&amp;COUNTIF($AJ$5:AJ62,AJ62)</f>
        <v>-_52</v>
      </c>
    </row>
    <row r="63" spans="1:50">
      <c r="A63" s="112"/>
      <c r="B63" s="44">
        <f>INPUT!F63</f>
        <v>0</v>
      </c>
      <c r="C63" s="50">
        <f>INPUT!C63</f>
        <v>0</v>
      </c>
      <c r="D63" s="130">
        <f>INPUT!D63</f>
        <v>0</v>
      </c>
      <c r="E63" s="51">
        <f>INPUT!E63</f>
        <v>0</v>
      </c>
      <c r="F63" s="39" t="str">
        <f>INPUT!G63</f>
        <v>0011</v>
      </c>
      <c r="G63" s="37" t="str">
        <f>INPUT!I63</f>
        <v>ABS</v>
      </c>
      <c r="H63" s="37" t="str">
        <f>INPUT!K63</f>
        <v>ABS</v>
      </c>
      <c r="I63" s="37" t="str">
        <f>INPUT!M63</f>
        <v>ABS</v>
      </c>
      <c r="J63" s="38" t="str">
        <f>INPUT!L63</f>
        <v>ABS</v>
      </c>
      <c r="K63" s="205" t="str">
        <f>INPUT!N63</f>
        <v>0031</v>
      </c>
      <c r="L63" s="37" t="str">
        <f>INPUT!P63</f>
        <v>ABS</v>
      </c>
      <c r="M63" s="37" t="str">
        <f>INPUT!R63</f>
        <v>ABS</v>
      </c>
      <c r="N63" s="37" t="str">
        <f>INPUT!T63</f>
        <v>ABS</v>
      </c>
      <c r="O63" s="46" t="str">
        <f>INPUT!S63</f>
        <v>ABS</v>
      </c>
      <c r="P63" s="202" t="str">
        <f>INPUT!U63</f>
        <v>0051</v>
      </c>
      <c r="Q63" s="37" t="str">
        <f>INPUT!W63</f>
        <v>ABS</v>
      </c>
      <c r="R63" s="37" t="str">
        <f>INPUT!Y63</f>
        <v>ABS</v>
      </c>
      <c r="S63" s="37" t="str">
        <f>INPUT!AA63</f>
        <v>ABS</v>
      </c>
      <c r="T63" s="38" t="str">
        <f>INPUT!Z63</f>
        <v>ABS</v>
      </c>
      <c r="U63" s="209">
        <f>INPUT!AB63</f>
        <v>0</v>
      </c>
      <c r="V63" s="37" t="str">
        <f>INPUT!AD63</f>
        <v>ABS</v>
      </c>
      <c r="W63" s="37" t="str">
        <f>INPUT!AF63</f>
        <v>ABS</v>
      </c>
      <c r="X63" s="37" t="str">
        <f>INPUT!AH63</f>
        <v>ABS</v>
      </c>
      <c r="Y63" s="46" t="str">
        <f>INPUT!AG63</f>
        <v>ABS</v>
      </c>
      <c r="Z63" s="209">
        <f>INPUT!AI63</f>
        <v>0</v>
      </c>
      <c r="AA63" s="37" t="str">
        <f>INPUT!AK63</f>
        <v>ABS</v>
      </c>
      <c r="AB63" s="37" t="str">
        <f>INPUT!AM63</f>
        <v>ABS</v>
      </c>
      <c r="AC63" s="37" t="str">
        <f>INPUT!AO63</f>
        <v>ABS</v>
      </c>
      <c r="AD63" s="46" t="str">
        <f>INPUT!AN63</f>
        <v>ABS</v>
      </c>
      <c r="AE63" s="204">
        <f>INPUT!AP63</f>
        <v>0</v>
      </c>
      <c r="AF63" s="37" t="str">
        <f>INPUT!AR63</f>
        <v>ABS</v>
      </c>
      <c r="AG63" s="37" t="str">
        <f>INPUT!AT63</f>
        <v>ABS</v>
      </c>
      <c r="AH63" s="37" t="str">
        <f>INPUT!AV63</f>
        <v>ABS</v>
      </c>
      <c r="AI63" s="38" t="str">
        <f>INPUT!AU63</f>
        <v>ABS</v>
      </c>
      <c r="AJ63" s="40" t="str">
        <f t="shared" si="0"/>
        <v>-</v>
      </c>
      <c r="AK63" s="211">
        <f>INPUT!AX63</f>
        <v>0</v>
      </c>
      <c r="AL63" s="37" t="str">
        <f>INPUT!AZ63</f>
        <v>ABS</v>
      </c>
      <c r="AM63" s="37" t="str">
        <f>INPUT!BB63</f>
        <v>ABS</v>
      </c>
      <c r="AN63" s="37" t="str">
        <f>INPUT!BD63</f>
        <v>ABS</v>
      </c>
      <c r="AO63" s="212" t="str">
        <f>INPUT!BC63</f>
        <v>ABS</v>
      </c>
      <c r="AP63" s="41" t="str">
        <f t="shared" si="1"/>
        <v/>
      </c>
      <c r="AQ63" s="41" t="str">
        <f t="shared" si="2"/>
        <v>ABS</v>
      </c>
      <c r="AR63" s="41" t="str">
        <f t="shared" si="3"/>
        <v/>
      </c>
      <c r="AS63" s="30"/>
      <c r="AT63" s="30"/>
      <c r="AU63" s="30"/>
      <c r="AV63" s="30"/>
      <c r="AX63" s="114" t="str">
        <f>AJ63&amp;"_"&amp;COUNTIF($AJ$5:AJ63,AJ63)</f>
        <v>-_53</v>
      </c>
    </row>
    <row r="64" spans="1:50">
      <c r="A64" s="112"/>
      <c r="B64" s="44">
        <f>INPUT!F64</f>
        <v>0</v>
      </c>
      <c r="C64" s="50">
        <f>INPUT!C64</f>
        <v>0</v>
      </c>
      <c r="D64" s="130">
        <f>INPUT!D64</f>
        <v>0</v>
      </c>
      <c r="E64" s="51">
        <f>INPUT!E64</f>
        <v>0</v>
      </c>
      <c r="F64" s="39" t="str">
        <f>INPUT!G64</f>
        <v>0011</v>
      </c>
      <c r="G64" s="37" t="str">
        <f>INPUT!I64</f>
        <v>ABS</v>
      </c>
      <c r="H64" s="37" t="str">
        <f>INPUT!K64</f>
        <v>ABS</v>
      </c>
      <c r="I64" s="37" t="str">
        <f>INPUT!M64</f>
        <v>ABS</v>
      </c>
      <c r="J64" s="38" t="str">
        <f>INPUT!L64</f>
        <v>ABS</v>
      </c>
      <c r="K64" s="205" t="str">
        <f>INPUT!N64</f>
        <v>0031</v>
      </c>
      <c r="L64" s="37" t="str">
        <f>INPUT!P64</f>
        <v>ABS</v>
      </c>
      <c r="M64" s="37" t="str">
        <f>INPUT!R64</f>
        <v>ABS</v>
      </c>
      <c r="N64" s="37" t="str">
        <f>INPUT!T64</f>
        <v>ABS</v>
      </c>
      <c r="O64" s="46" t="str">
        <f>INPUT!S64</f>
        <v>ABS</v>
      </c>
      <c r="P64" s="202" t="str">
        <f>INPUT!U64</f>
        <v>0051</v>
      </c>
      <c r="Q64" s="37" t="str">
        <f>INPUT!W64</f>
        <v>ABS</v>
      </c>
      <c r="R64" s="37" t="str">
        <f>INPUT!Y64</f>
        <v>ABS</v>
      </c>
      <c r="S64" s="37" t="str">
        <f>INPUT!AA64</f>
        <v>ABS</v>
      </c>
      <c r="T64" s="38" t="str">
        <f>INPUT!Z64</f>
        <v>ABS</v>
      </c>
      <c r="U64" s="209">
        <f>INPUT!AB64</f>
        <v>0</v>
      </c>
      <c r="V64" s="37" t="str">
        <f>INPUT!AD64</f>
        <v>ABS</v>
      </c>
      <c r="W64" s="37" t="str">
        <f>INPUT!AF64</f>
        <v>ABS</v>
      </c>
      <c r="X64" s="37" t="str">
        <f>INPUT!AH64</f>
        <v>ABS</v>
      </c>
      <c r="Y64" s="46" t="str">
        <f>INPUT!AG64</f>
        <v>ABS</v>
      </c>
      <c r="Z64" s="209">
        <f>INPUT!AI64</f>
        <v>0</v>
      </c>
      <c r="AA64" s="37" t="str">
        <f>INPUT!AK64</f>
        <v>ABS</v>
      </c>
      <c r="AB64" s="37" t="str">
        <f>INPUT!AM64</f>
        <v>ABS</v>
      </c>
      <c r="AC64" s="37" t="str">
        <f>INPUT!AO64</f>
        <v>ABS</v>
      </c>
      <c r="AD64" s="46" t="str">
        <f>INPUT!AN64</f>
        <v>ABS</v>
      </c>
      <c r="AE64" s="204">
        <f>INPUT!AP64</f>
        <v>0</v>
      </c>
      <c r="AF64" s="37" t="str">
        <f>INPUT!AR64</f>
        <v>ABS</v>
      </c>
      <c r="AG64" s="37" t="str">
        <f>INPUT!AT64</f>
        <v>ABS</v>
      </c>
      <c r="AH64" s="37" t="str">
        <f>INPUT!AV64</f>
        <v>ABS</v>
      </c>
      <c r="AI64" s="38" t="str">
        <f>INPUT!AU64</f>
        <v>ABS</v>
      </c>
      <c r="AJ64" s="40" t="str">
        <f t="shared" si="0"/>
        <v>-</v>
      </c>
      <c r="AK64" s="211">
        <f>INPUT!AX64</f>
        <v>0</v>
      </c>
      <c r="AL64" s="37" t="str">
        <f>INPUT!AZ64</f>
        <v>ABS</v>
      </c>
      <c r="AM64" s="37" t="str">
        <f>INPUT!BB64</f>
        <v>ABS</v>
      </c>
      <c r="AN64" s="37" t="str">
        <f>INPUT!BD64</f>
        <v>ABS</v>
      </c>
      <c r="AO64" s="212" t="str">
        <f>INPUT!BC64</f>
        <v>ABS</v>
      </c>
      <c r="AP64" s="41" t="str">
        <f t="shared" si="1"/>
        <v/>
      </c>
      <c r="AQ64" s="41" t="str">
        <f t="shared" si="2"/>
        <v>ABS</v>
      </c>
      <c r="AR64" s="41" t="str">
        <f t="shared" si="3"/>
        <v/>
      </c>
      <c r="AS64" s="30"/>
      <c r="AT64" s="30"/>
      <c r="AU64" s="30"/>
      <c r="AV64" s="30"/>
      <c r="AX64" s="114" t="str">
        <f>AJ64&amp;"_"&amp;COUNTIF($AJ$5:AJ64,AJ64)</f>
        <v>-_54</v>
      </c>
    </row>
    <row r="65" spans="1:50">
      <c r="A65" s="112"/>
      <c r="B65" s="44">
        <f>INPUT!F65</f>
        <v>0</v>
      </c>
      <c r="C65" s="50">
        <f>INPUT!C65</f>
        <v>0</v>
      </c>
      <c r="D65" s="130">
        <f>INPUT!D65</f>
        <v>0</v>
      </c>
      <c r="E65" s="51">
        <f>INPUT!E65</f>
        <v>0</v>
      </c>
      <c r="F65" s="39" t="str">
        <f>INPUT!G65</f>
        <v>0011</v>
      </c>
      <c r="G65" s="37" t="str">
        <f>INPUT!I65</f>
        <v>ABS</v>
      </c>
      <c r="H65" s="37" t="str">
        <f>INPUT!K65</f>
        <v>ABS</v>
      </c>
      <c r="I65" s="37" t="str">
        <f>INPUT!M65</f>
        <v>ABS</v>
      </c>
      <c r="J65" s="38" t="str">
        <f>INPUT!L65</f>
        <v>ABS</v>
      </c>
      <c r="K65" s="205" t="str">
        <f>INPUT!N65</f>
        <v>0031</v>
      </c>
      <c r="L65" s="37" t="str">
        <f>INPUT!P65</f>
        <v>ABS</v>
      </c>
      <c r="M65" s="37" t="str">
        <f>INPUT!R65</f>
        <v>ABS</v>
      </c>
      <c r="N65" s="37" t="str">
        <f>INPUT!T65</f>
        <v>ABS</v>
      </c>
      <c r="O65" s="46" t="str">
        <f>INPUT!S65</f>
        <v>ABS</v>
      </c>
      <c r="P65" s="202" t="str">
        <f>INPUT!U65</f>
        <v>0051</v>
      </c>
      <c r="Q65" s="37" t="str">
        <f>INPUT!W65</f>
        <v>ABS</v>
      </c>
      <c r="R65" s="37" t="str">
        <f>INPUT!Y65</f>
        <v>ABS</v>
      </c>
      <c r="S65" s="37" t="str">
        <f>INPUT!AA65</f>
        <v>ABS</v>
      </c>
      <c r="T65" s="38" t="str">
        <f>INPUT!Z65</f>
        <v>ABS</v>
      </c>
      <c r="U65" s="209">
        <f>INPUT!AB65</f>
        <v>0</v>
      </c>
      <c r="V65" s="37" t="str">
        <f>INPUT!AD65</f>
        <v>ABS</v>
      </c>
      <c r="W65" s="37" t="str">
        <f>INPUT!AF65</f>
        <v>ABS</v>
      </c>
      <c r="X65" s="37" t="str">
        <f>INPUT!AH65</f>
        <v>ABS</v>
      </c>
      <c r="Y65" s="46" t="str">
        <f>INPUT!AG65</f>
        <v>ABS</v>
      </c>
      <c r="Z65" s="209">
        <f>INPUT!AI65</f>
        <v>0</v>
      </c>
      <c r="AA65" s="37" t="str">
        <f>INPUT!AK65</f>
        <v>ABS</v>
      </c>
      <c r="AB65" s="37" t="str">
        <f>INPUT!AM65</f>
        <v>ABS</v>
      </c>
      <c r="AC65" s="37" t="str">
        <f>INPUT!AO65</f>
        <v>ABS</v>
      </c>
      <c r="AD65" s="46" t="str">
        <f>INPUT!AN65</f>
        <v>ABS</v>
      </c>
      <c r="AE65" s="204">
        <f>INPUT!AP65</f>
        <v>0</v>
      </c>
      <c r="AF65" s="37" t="str">
        <f>INPUT!AR65</f>
        <v>ABS</v>
      </c>
      <c r="AG65" s="37" t="str">
        <f>INPUT!AT65</f>
        <v>ABS</v>
      </c>
      <c r="AH65" s="37" t="str">
        <f>INPUT!AV65</f>
        <v>ABS</v>
      </c>
      <c r="AI65" s="38" t="str">
        <f>INPUT!AU65</f>
        <v>ABS</v>
      </c>
      <c r="AJ65" s="40" t="str">
        <f t="shared" si="0"/>
        <v>-</v>
      </c>
      <c r="AK65" s="211">
        <f>INPUT!AX65</f>
        <v>0</v>
      </c>
      <c r="AL65" s="37" t="str">
        <f>INPUT!AZ65</f>
        <v>ABS</v>
      </c>
      <c r="AM65" s="37" t="str">
        <f>INPUT!BB65</f>
        <v>ABS</v>
      </c>
      <c r="AN65" s="37" t="str">
        <f>INPUT!BD65</f>
        <v>ABS</v>
      </c>
      <c r="AO65" s="212" t="str">
        <f>INPUT!BC65</f>
        <v>ABS</v>
      </c>
      <c r="AP65" s="41" t="str">
        <f t="shared" si="1"/>
        <v/>
      </c>
      <c r="AQ65" s="41" t="str">
        <f t="shared" si="2"/>
        <v>ABS</v>
      </c>
      <c r="AR65" s="41" t="str">
        <f t="shared" si="3"/>
        <v/>
      </c>
      <c r="AS65" s="30"/>
      <c r="AT65" s="30"/>
      <c r="AU65" s="30"/>
      <c r="AV65" s="30"/>
      <c r="AX65" s="114" t="str">
        <f>AJ65&amp;"_"&amp;COUNTIF($AJ$5:AJ65,AJ65)</f>
        <v>-_55</v>
      </c>
    </row>
    <row r="66" spans="1:50">
      <c r="A66" s="112"/>
      <c r="B66" s="44">
        <f>INPUT!F66</f>
        <v>0</v>
      </c>
      <c r="C66" s="50">
        <f>INPUT!C66</f>
        <v>0</v>
      </c>
      <c r="D66" s="130">
        <f>INPUT!D66</f>
        <v>0</v>
      </c>
      <c r="E66" s="51">
        <f>INPUT!E66</f>
        <v>0</v>
      </c>
      <c r="F66" s="39" t="str">
        <f>INPUT!G66</f>
        <v>0011</v>
      </c>
      <c r="G66" s="37" t="str">
        <f>INPUT!I66</f>
        <v>ABS</v>
      </c>
      <c r="H66" s="37" t="str">
        <f>INPUT!K66</f>
        <v>ABS</v>
      </c>
      <c r="I66" s="37" t="str">
        <f>INPUT!M66</f>
        <v>ABS</v>
      </c>
      <c r="J66" s="38" t="str">
        <f>INPUT!L66</f>
        <v>ABS</v>
      </c>
      <c r="K66" s="205" t="str">
        <f>INPUT!N66</f>
        <v>0031</v>
      </c>
      <c r="L66" s="37" t="str">
        <f>INPUT!P66</f>
        <v>ABS</v>
      </c>
      <c r="M66" s="37" t="str">
        <f>INPUT!R66</f>
        <v>ABS</v>
      </c>
      <c r="N66" s="37" t="str">
        <f>INPUT!T66</f>
        <v>ABS</v>
      </c>
      <c r="O66" s="46" t="str">
        <f>INPUT!S66</f>
        <v>ABS</v>
      </c>
      <c r="P66" s="202" t="str">
        <f>INPUT!U66</f>
        <v>0051</v>
      </c>
      <c r="Q66" s="37" t="str">
        <f>INPUT!W66</f>
        <v>ABS</v>
      </c>
      <c r="R66" s="37" t="str">
        <f>INPUT!Y66</f>
        <v>ABS</v>
      </c>
      <c r="S66" s="37" t="str">
        <f>INPUT!AA66</f>
        <v>ABS</v>
      </c>
      <c r="T66" s="38" t="str">
        <f>INPUT!Z66</f>
        <v>ABS</v>
      </c>
      <c r="U66" s="209">
        <f>INPUT!AB66</f>
        <v>0</v>
      </c>
      <c r="V66" s="37" t="str">
        <f>INPUT!AD66</f>
        <v>ABS</v>
      </c>
      <c r="W66" s="37" t="str">
        <f>INPUT!AF66</f>
        <v>ABS</v>
      </c>
      <c r="X66" s="37" t="str">
        <f>INPUT!AH66</f>
        <v>ABS</v>
      </c>
      <c r="Y66" s="46" t="str">
        <f>INPUT!AG66</f>
        <v>ABS</v>
      </c>
      <c r="Z66" s="209">
        <f>INPUT!AI66</f>
        <v>0</v>
      </c>
      <c r="AA66" s="37" t="str">
        <f>INPUT!AK66</f>
        <v>ABS</v>
      </c>
      <c r="AB66" s="37" t="str">
        <f>INPUT!AM66</f>
        <v>ABS</v>
      </c>
      <c r="AC66" s="37" t="str">
        <f>INPUT!AO66</f>
        <v>ABS</v>
      </c>
      <c r="AD66" s="46" t="str">
        <f>INPUT!AN66</f>
        <v>ABS</v>
      </c>
      <c r="AE66" s="204">
        <f>INPUT!AP66</f>
        <v>0</v>
      </c>
      <c r="AF66" s="37" t="str">
        <f>INPUT!AR66</f>
        <v>ABS</v>
      </c>
      <c r="AG66" s="37" t="str">
        <f>INPUT!AT66</f>
        <v>ABS</v>
      </c>
      <c r="AH66" s="37" t="str">
        <f>INPUT!AV66</f>
        <v>ABS</v>
      </c>
      <c r="AI66" s="38" t="str">
        <f>INPUT!AU66</f>
        <v>ABS</v>
      </c>
      <c r="AJ66" s="40" t="str">
        <f t="shared" si="0"/>
        <v>-</v>
      </c>
      <c r="AK66" s="211">
        <f>INPUT!AX66</f>
        <v>0</v>
      </c>
      <c r="AL66" s="37" t="str">
        <f>INPUT!AZ66</f>
        <v>ABS</v>
      </c>
      <c r="AM66" s="37" t="str">
        <f>INPUT!BB66</f>
        <v>ABS</v>
      </c>
      <c r="AN66" s="37" t="str">
        <f>INPUT!BD66</f>
        <v>ABS</v>
      </c>
      <c r="AO66" s="212" t="str">
        <f>INPUT!BC66</f>
        <v>ABS</v>
      </c>
      <c r="AP66" s="41" t="str">
        <f t="shared" si="1"/>
        <v/>
      </c>
      <c r="AQ66" s="41" t="str">
        <f t="shared" si="2"/>
        <v>ABS</v>
      </c>
      <c r="AR66" s="41" t="str">
        <f t="shared" si="3"/>
        <v/>
      </c>
      <c r="AS66" s="30"/>
      <c r="AT66" s="30"/>
      <c r="AU66" s="30"/>
      <c r="AV66" s="30"/>
      <c r="AX66" s="114" t="str">
        <f>AJ66&amp;"_"&amp;COUNTIF($AJ$5:AJ66,AJ66)</f>
        <v>-_56</v>
      </c>
    </row>
    <row r="67" spans="1:50">
      <c r="A67" s="112"/>
      <c r="B67" s="44">
        <f>INPUT!F67</f>
        <v>0</v>
      </c>
      <c r="C67" s="50">
        <f>INPUT!C67</f>
        <v>0</v>
      </c>
      <c r="D67" s="130">
        <f>INPUT!D67</f>
        <v>0</v>
      </c>
      <c r="E67" s="51">
        <f>INPUT!E67</f>
        <v>0</v>
      </c>
      <c r="F67" s="39" t="str">
        <f>INPUT!G67</f>
        <v>0011</v>
      </c>
      <c r="G67" s="37" t="str">
        <f>INPUT!I67</f>
        <v>ABS</v>
      </c>
      <c r="H67" s="37" t="str">
        <f>INPUT!K67</f>
        <v>ABS</v>
      </c>
      <c r="I67" s="37" t="str">
        <f>INPUT!M67</f>
        <v>ABS</v>
      </c>
      <c r="J67" s="38" t="str">
        <f>INPUT!L67</f>
        <v>ABS</v>
      </c>
      <c r="K67" s="205" t="str">
        <f>INPUT!N67</f>
        <v>0031</v>
      </c>
      <c r="L67" s="37" t="str">
        <f>INPUT!P67</f>
        <v>ABS</v>
      </c>
      <c r="M67" s="37" t="str">
        <f>INPUT!R67</f>
        <v>ABS</v>
      </c>
      <c r="N67" s="37" t="str">
        <f>INPUT!T67</f>
        <v>ABS</v>
      </c>
      <c r="O67" s="46" t="str">
        <f>INPUT!S67</f>
        <v>ABS</v>
      </c>
      <c r="P67" s="202" t="str">
        <f>INPUT!U67</f>
        <v>0051</v>
      </c>
      <c r="Q67" s="37" t="str">
        <f>INPUT!W67</f>
        <v>ABS</v>
      </c>
      <c r="R67" s="37" t="str">
        <f>INPUT!Y67</f>
        <v>ABS</v>
      </c>
      <c r="S67" s="37" t="str">
        <f>INPUT!AA67</f>
        <v>ABS</v>
      </c>
      <c r="T67" s="38" t="str">
        <f>INPUT!Z67</f>
        <v>ABS</v>
      </c>
      <c r="U67" s="209">
        <f>INPUT!AB67</f>
        <v>0</v>
      </c>
      <c r="V67" s="37" t="str">
        <f>INPUT!AD67</f>
        <v>ABS</v>
      </c>
      <c r="W67" s="37" t="str">
        <f>INPUT!AF67</f>
        <v>ABS</v>
      </c>
      <c r="X67" s="37" t="str">
        <f>INPUT!AH67</f>
        <v>ABS</v>
      </c>
      <c r="Y67" s="46" t="str">
        <f>INPUT!AG67</f>
        <v>ABS</v>
      </c>
      <c r="Z67" s="209">
        <f>INPUT!AI67</f>
        <v>0</v>
      </c>
      <c r="AA67" s="37" t="str">
        <f>INPUT!AK67</f>
        <v>ABS</v>
      </c>
      <c r="AB67" s="37" t="str">
        <f>INPUT!AM67</f>
        <v>ABS</v>
      </c>
      <c r="AC67" s="37" t="str">
        <f>INPUT!AO67</f>
        <v>ABS</v>
      </c>
      <c r="AD67" s="46" t="str">
        <f>INPUT!AN67</f>
        <v>ABS</v>
      </c>
      <c r="AE67" s="204">
        <f>INPUT!AP67</f>
        <v>0</v>
      </c>
      <c r="AF67" s="37" t="str">
        <f>INPUT!AR67</f>
        <v>ABS</v>
      </c>
      <c r="AG67" s="37" t="str">
        <f>INPUT!AT67</f>
        <v>ABS</v>
      </c>
      <c r="AH67" s="37" t="str">
        <f>INPUT!AV67</f>
        <v>ABS</v>
      </c>
      <c r="AI67" s="38" t="str">
        <f>INPUT!AU67</f>
        <v>ABS</v>
      </c>
      <c r="AJ67" s="40" t="str">
        <f t="shared" si="0"/>
        <v>-</v>
      </c>
      <c r="AK67" s="211">
        <f>INPUT!AX67</f>
        <v>0</v>
      </c>
      <c r="AL67" s="37" t="str">
        <f>INPUT!AZ67</f>
        <v>ABS</v>
      </c>
      <c r="AM67" s="37" t="str">
        <f>INPUT!BB67</f>
        <v>ABS</v>
      </c>
      <c r="AN67" s="37" t="str">
        <f>INPUT!BD67</f>
        <v>ABS</v>
      </c>
      <c r="AO67" s="212" t="str">
        <f>INPUT!BC67</f>
        <v>ABS</v>
      </c>
      <c r="AP67" s="41" t="str">
        <f t="shared" si="1"/>
        <v/>
      </c>
      <c r="AQ67" s="41" t="str">
        <f t="shared" si="2"/>
        <v>ABS</v>
      </c>
      <c r="AR67" s="41" t="str">
        <f t="shared" si="3"/>
        <v/>
      </c>
      <c r="AS67" s="30"/>
      <c r="AT67" s="30"/>
      <c r="AU67" s="30"/>
      <c r="AV67" s="30"/>
      <c r="AX67" s="114" t="str">
        <f>AJ67&amp;"_"&amp;COUNTIF($AJ$5:AJ67,AJ67)</f>
        <v>-_57</v>
      </c>
    </row>
    <row r="68" spans="1:50">
      <c r="A68" s="112"/>
      <c r="B68" s="44">
        <f>INPUT!F68</f>
        <v>0</v>
      </c>
      <c r="C68" s="50">
        <f>INPUT!C68</f>
        <v>0</v>
      </c>
      <c r="D68" s="130">
        <f>INPUT!D68</f>
        <v>0</v>
      </c>
      <c r="E68" s="51">
        <f>INPUT!E68</f>
        <v>0</v>
      </c>
      <c r="F68" s="39" t="str">
        <f>INPUT!G68</f>
        <v>0011</v>
      </c>
      <c r="G68" s="37" t="str">
        <f>INPUT!I68</f>
        <v>ABS</v>
      </c>
      <c r="H68" s="37" t="str">
        <f>INPUT!K68</f>
        <v>ABS</v>
      </c>
      <c r="I68" s="37" t="str">
        <f>INPUT!M68</f>
        <v>ABS</v>
      </c>
      <c r="J68" s="38" t="str">
        <f>INPUT!L68</f>
        <v>ABS</v>
      </c>
      <c r="K68" s="205" t="str">
        <f>INPUT!N68</f>
        <v>0031</v>
      </c>
      <c r="L68" s="37" t="str">
        <f>INPUT!P68</f>
        <v>ABS</v>
      </c>
      <c r="M68" s="37" t="str">
        <f>INPUT!R68</f>
        <v>ABS</v>
      </c>
      <c r="N68" s="37" t="str">
        <f>INPUT!T68</f>
        <v>ABS</v>
      </c>
      <c r="O68" s="46" t="str">
        <f>INPUT!S68</f>
        <v>ABS</v>
      </c>
      <c r="P68" s="202" t="str">
        <f>INPUT!U68</f>
        <v>0051</v>
      </c>
      <c r="Q68" s="37" t="str">
        <f>INPUT!W68</f>
        <v>ABS</v>
      </c>
      <c r="R68" s="37" t="str">
        <f>INPUT!Y68</f>
        <v>ABS</v>
      </c>
      <c r="S68" s="37" t="str">
        <f>INPUT!AA68</f>
        <v>ABS</v>
      </c>
      <c r="T68" s="38" t="str">
        <f>INPUT!Z68</f>
        <v>ABS</v>
      </c>
      <c r="U68" s="209">
        <f>INPUT!AB68</f>
        <v>0</v>
      </c>
      <c r="V68" s="37" t="str">
        <f>INPUT!AD68</f>
        <v>ABS</v>
      </c>
      <c r="W68" s="37" t="str">
        <f>INPUT!AF68</f>
        <v>ABS</v>
      </c>
      <c r="X68" s="37" t="str">
        <f>INPUT!AH68</f>
        <v>ABS</v>
      </c>
      <c r="Y68" s="46" t="str">
        <f>INPUT!AG68</f>
        <v>ABS</v>
      </c>
      <c r="Z68" s="209">
        <f>INPUT!AI68</f>
        <v>0</v>
      </c>
      <c r="AA68" s="37" t="str">
        <f>INPUT!AK68</f>
        <v>ABS</v>
      </c>
      <c r="AB68" s="37" t="str">
        <f>INPUT!AM68</f>
        <v>ABS</v>
      </c>
      <c r="AC68" s="37" t="str">
        <f>INPUT!AO68</f>
        <v>ABS</v>
      </c>
      <c r="AD68" s="46" t="str">
        <f>INPUT!AN68</f>
        <v>ABS</v>
      </c>
      <c r="AE68" s="204">
        <f>INPUT!AP68</f>
        <v>0</v>
      </c>
      <c r="AF68" s="37" t="str">
        <f>INPUT!AR68</f>
        <v>ABS</v>
      </c>
      <c r="AG68" s="37" t="str">
        <f>INPUT!AT68</f>
        <v>ABS</v>
      </c>
      <c r="AH68" s="37" t="str">
        <f>INPUT!AV68</f>
        <v>ABS</v>
      </c>
      <c r="AI68" s="38" t="str">
        <f>INPUT!AU68</f>
        <v>ABS</v>
      </c>
      <c r="AJ68" s="40" t="str">
        <f t="shared" si="0"/>
        <v>-</v>
      </c>
      <c r="AK68" s="211">
        <f>INPUT!AX68</f>
        <v>0</v>
      </c>
      <c r="AL68" s="37" t="str">
        <f>INPUT!AZ68</f>
        <v>ABS</v>
      </c>
      <c r="AM68" s="37" t="str">
        <f>INPUT!BB68</f>
        <v>ABS</v>
      </c>
      <c r="AN68" s="37" t="str">
        <f>INPUT!BD68</f>
        <v>ABS</v>
      </c>
      <c r="AO68" s="212" t="str">
        <f>INPUT!BC68</f>
        <v>ABS</v>
      </c>
      <c r="AP68" s="41" t="str">
        <f t="shared" si="1"/>
        <v/>
      </c>
      <c r="AQ68" s="41" t="str">
        <f t="shared" si="2"/>
        <v>ABS</v>
      </c>
      <c r="AR68" s="41" t="str">
        <f t="shared" si="3"/>
        <v/>
      </c>
      <c r="AS68" s="30"/>
      <c r="AT68" s="30"/>
      <c r="AU68" s="30"/>
      <c r="AV68" s="30"/>
      <c r="AX68" s="114" t="str">
        <f>AJ68&amp;"_"&amp;COUNTIF($AJ$5:AJ68,AJ68)</f>
        <v>-_58</v>
      </c>
    </row>
    <row r="69" spans="1:50">
      <c r="A69" s="112"/>
      <c r="B69" s="44">
        <f>INPUT!F69</f>
        <v>0</v>
      </c>
      <c r="C69" s="50">
        <f>INPUT!C69</f>
        <v>0</v>
      </c>
      <c r="D69" s="130">
        <f>INPUT!D69</f>
        <v>0</v>
      </c>
      <c r="E69" s="51">
        <f>INPUT!E69</f>
        <v>0</v>
      </c>
      <c r="F69" s="39" t="str">
        <f>INPUT!G69</f>
        <v>0011</v>
      </c>
      <c r="G69" s="37" t="str">
        <f>INPUT!I69</f>
        <v>ABS</v>
      </c>
      <c r="H69" s="37" t="str">
        <f>INPUT!K69</f>
        <v>ABS</v>
      </c>
      <c r="I69" s="37" t="str">
        <f>INPUT!M69</f>
        <v>ABS</v>
      </c>
      <c r="J69" s="38" t="str">
        <f>INPUT!L69</f>
        <v>ABS</v>
      </c>
      <c r="K69" s="205" t="str">
        <f>INPUT!N69</f>
        <v>0031</v>
      </c>
      <c r="L69" s="37" t="str">
        <f>INPUT!P69</f>
        <v>ABS</v>
      </c>
      <c r="M69" s="37" t="str">
        <f>INPUT!R69</f>
        <v>ABS</v>
      </c>
      <c r="N69" s="37" t="str">
        <f>INPUT!T69</f>
        <v>ABS</v>
      </c>
      <c r="O69" s="46" t="str">
        <f>INPUT!S69</f>
        <v>ABS</v>
      </c>
      <c r="P69" s="202" t="str">
        <f>INPUT!U69</f>
        <v>0051</v>
      </c>
      <c r="Q69" s="37" t="str">
        <f>INPUT!W69</f>
        <v>ABS</v>
      </c>
      <c r="R69" s="37" t="str">
        <f>INPUT!Y69</f>
        <v>ABS</v>
      </c>
      <c r="S69" s="37" t="str">
        <f>INPUT!AA69</f>
        <v>ABS</v>
      </c>
      <c r="T69" s="38" t="str">
        <f>INPUT!Z69</f>
        <v>ABS</v>
      </c>
      <c r="U69" s="209">
        <f>INPUT!AB69</f>
        <v>0</v>
      </c>
      <c r="V69" s="37" t="str">
        <f>INPUT!AD69</f>
        <v>ABS</v>
      </c>
      <c r="W69" s="37" t="str">
        <f>INPUT!AF69</f>
        <v>ABS</v>
      </c>
      <c r="X69" s="37" t="str">
        <f>INPUT!AH69</f>
        <v>ABS</v>
      </c>
      <c r="Y69" s="46" t="str">
        <f>INPUT!AG69</f>
        <v>ABS</v>
      </c>
      <c r="Z69" s="209">
        <f>INPUT!AI69</f>
        <v>0</v>
      </c>
      <c r="AA69" s="37" t="str">
        <f>INPUT!AK69</f>
        <v>ABS</v>
      </c>
      <c r="AB69" s="37" t="str">
        <f>INPUT!AM69</f>
        <v>ABS</v>
      </c>
      <c r="AC69" s="37" t="str">
        <f>INPUT!AO69</f>
        <v>ABS</v>
      </c>
      <c r="AD69" s="46" t="str">
        <f>INPUT!AN69</f>
        <v>ABS</v>
      </c>
      <c r="AE69" s="204">
        <f>INPUT!AP69</f>
        <v>0</v>
      </c>
      <c r="AF69" s="37" t="str">
        <f>INPUT!AR69</f>
        <v>ABS</v>
      </c>
      <c r="AG69" s="37" t="str">
        <f>INPUT!AT69</f>
        <v>ABS</v>
      </c>
      <c r="AH69" s="37" t="str">
        <f>INPUT!AV69</f>
        <v>ABS</v>
      </c>
      <c r="AI69" s="38" t="str">
        <f>INPUT!AU69</f>
        <v>ABS</v>
      </c>
      <c r="AJ69" s="40" t="str">
        <f t="shared" si="0"/>
        <v>-</v>
      </c>
      <c r="AK69" s="211">
        <f>INPUT!AX69</f>
        <v>0</v>
      </c>
      <c r="AL69" s="37" t="str">
        <f>INPUT!AZ69</f>
        <v>ABS</v>
      </c>
      <c r="AM69" s="37" t="str">
        <f>INPUT!BB69</f>
        <v>ABS</v>
      </c>
      <c r="AN69" s="37" t="str">
        <f>INPUT!BD69</f>
        <v>ABS</v>
      </c>
      <c r="AO69" s="212" t="str">
        <f>INPUT!BC69</f>
        <v>ABS</v>
      </c>
      <c r="AP69" s="41" t="str">
        <f t="shared" si="1"/>
        <v/>
      </c>
      <c r="AQ69" s="41" t="str">
        <f t="shared" si="2"/>
        <v>ABS</v>
      </c>
      <c r="AR69" s="41" t="str">
        <f t="shared" si="3"/>
        <v/>
      </c>
      <c r="AS69" s="30"/>
      <c r="AT69" s="30"/>
      <c r="AU69" s="30"/>
      <c r="AV69" s="30"/>
      <c r="AX69" s="114" t="str">
        <f>AJ69&amp;"_"&amp;COUNTIF($AJ$5:AJ69,AJ69)</f>
        <v>-_59</v>
      </c>
    </row>
    <row r="70" spans="1:50">
      <c r="A70" s="112"/>
      <c r="B70" s="44">
        <f>INPUT!F70</f>
        <v>0</v>
      </c>
      <c r="C70" s="50">
        <f>INPUT!C70</f>
        <v>0</v>
      </c>
      <c r="D70" s="130">
        <f>INPUT!D70</f>
        <v>0</v>
      </c>
      <c r="E70" s="51">
        <f>INPUT!E70</f>
        <v>0</v>
      </c>
      <c r="F70" s="39" t="str">
        <f>INPUT!G70</f>
        <v>0011</v>
      </c>
      <c r="G70" s="37" t="str">
        <f>INPUT!I70</f>
        <v>ABS</v>
      </c>
      <c r="H70" s="37" t="str">
        <f>INPUT!K70</f>
        <v>ABS</v>
      </c>
      <c r="I70" s="37" t="str">
        <f>INPUT!M70</f>
        <v>ABS</v>
      </c>
      <c r="J70" s="38" t="str">
        <f>INPUT!L70</f>
        <v>ABS</v>
      </c>
      <c r="K70" s="205" t="str">
        <f>INPUT!N70</f>
        <v>0031</v>
      </c>
      <c r="L70" s="37" t="str">
        <f>INPUT!P70</f>
        <v>ABS</v>
      </c>
      <c r="M70" s="37" t="str">
        <f>INPUT!R70</f>
        <v>ABS</v>
      </c>
      <c r="N70" s="37" t="str">
        <f>INPUT!T70</f>
        <v>ABS</v>
      </c>
      <c r="O70" s="46" t="str">
        <f>INPUT!S70</f>
        <v>ABS</v>
      </c>
      <c r="P70" s="202" t="str">
        <f>INPUT!U70</f>
        <v>0051</v>
      </c>
      <c r="Q70" s="37" t="str">
        <f>INPUT!W70</f>
        <v>ABS</v>
      </c>
      <c r="R70" s="37" t="str">
        <f>INPUT!Y70</f>
        <v>ABS</v>
      </c>
      <c r="S70" s="37" t="str">
        <f>INPUT!AA70</f>
        <v>ABS</v>
      </c>
      <c r="T70" s="38" t="str">
        <f>INPUT!Z70</f>
        <v>ABS</v>
      </c>
      <c r="U70" s="209">
        <f>INPUT!AB70</f>
        <v>0</v>
      </c>
      <c r="V70" s="37" t="str">
        <f>INPUT!AD70</f>
        <v>ABS</v>
      </c>
      <c r="W70" s="37" t="str">
        <f>INPUT!AF70</f>
        <v>ABS</v>
      </c>
      <c r="X70" s="37" t="str">
        <f>INPUT!AH70</f>
        <v>ABS</v>
      </c>
      <c r="Y70" s="46" t="str">
        <f>INPUT!AG70</f>
        <v>ABS</v>
      </c>
      <c r="Z70" s="209">
        <f>INPUT!AI70</f>
        <v>0</v>
      </c>
      <c r="AA70" s="37" t="str">
        <f>INPUT!AK70</f>
        <v>ABS</v>
      </c>
      <c r="AB70" s="37" t="str">
        <f>INPUT!AM70</f>
        <v>ABS</v>
      </c>
      <c r="AC70" s="37" t="str">
        <f>INPUT!AO70</f>
        <v>ABS</v>
      </c>
      <c r="AD70" s="46" t="str">
        <f>INPUT!AN70</f>
        <v>ABS</v>
      </c>
      <c r="AE70" s="204">
        <f>INPUT!AP70</f>
        <v>0</v>
      </c>
      <c r="AF70" s="37" t="str">
        <f>INPUT!AR70</f>
        <v>ABS</v>
      </c>
      <c r="AG70" s="37" t="str">
        <f>INPUT!AT70</f>
        <v>ABS</v>
      </c>
      <c r="AH70" s="37" t="str">
        <f>INPUT!AV70</f>
        <v>ABS</v>
      </c>
      <c r="AI70" s="38" t="str">
        <f>INPUT!AU70</f>
        <v>ABS</v>
      </c>
      <c r="AJ70" s="40" t="str">
        <f t="shared" ref="AJ70:AJ133" si="4">IFERROR((3*J70+4*O70+5*T70+5*Y70+5*AD70+5*AI70)/27,"-")</f>
        <v>-</v>
      </c>
      <c r="AK70" s="211">
        <f>INPUT!AX70</f>
        <v>0</v>
      </c>
      <c r="AL70" s="37" t="str">
        <f>INPUT!AZ70</f>
        <v>ABS</v>
      </c>
      <c r="AM70" s="37" t="str">
        <f>INPUT!BB70</f>
        <v>ABS</v>
      </c>
      <c r="AN70" s="37" t="str">
        <f>INPUT!BD70</f>
        <v>ABS</v>
      </c>
      <c r="AO70" s="212" t="str">
        <f>INPUT!BC70</f>
        <v>ABS</v>
      </c>
      <c r="AP70" s="41" t="str">
        <f t="shared" ref="AP70:AP133" si="5">IF(OR(J70="NG",O70="NG",T70="NG",Y70="NG",AD70="NG",AI70="NG"),"NG","")</f>
        <v/>
      </c>
      <c r="AQ70" s="41" t="str">
        <f t="shared" ref="AQ70:AQ133" si="6">IF(OR(G70="ABS",L70="ABS",Q70="ABS",V70="ABS",AA70="ABS",AF70="ABS"),"ABS","")</f>
        <v>ABS</v>
      </c>
      <c r="AR70" s="41" t="str">
        <f t="shared" ref="AR70:AR133" si="7">IF(OR(G70="-",L70="-",Q70="-",V70="-",AA70="-",AF70,AP70="NG"),"W","")</f>
        <v/>
      </c>
      <c r="AS70" s="30"/>
      <c r="AT70" s="30"/>
      <c r="AU70" s="30"/>
      <c r="AV70" s="30"/>
      <c r="AX70" s="114" t="str">
        <f>AJ70&amp;"_"&amp;COUNTIF($AJ$5:AJ70,AJ70)</f>
        <v>-_60</v>
      </c>
    </row>
    <row r="71" spans="1:50">
      <c r="A71" s="112"/>
      <c r="B71" s="44">
        <f>INPUT!F71</f>
        <v>0</v>
      </c>
      <c r="C71" s="50">
        <f>INPUT!C71</f>
        <v>0</v>
      </c>
      <c r="D71" s="130">
        <f>INPUT!D71</f>
        <v>0</v>
      </c>
      <c r="E71" s="51">
        <f>INPUT!E71</f>
        <v>0</v>
      </c>
      <c r="F71" s="39" t="str">
        <f>INPUT!G71</f>
        <v>0011</v>
      </c>
      <c r="G71" s="37" t="str">
        <f>INPUT!I71</f>
        <v>ABS</v>
      </c>
      <c r="H71" s="37" t="str">
        <f>INPUT!K71</f>
        <v>ABS</v>
      </c>
      <c r="I71" s="37" t="str">
        <f>INPUT!M71</f>
        <v>ABS</v>
      </c>
      <c r="J71" s="38" t="str">
        <f>INPUT!L71</f>
        <v>ABS</v>
      </c>
      <c r="K71" s="205" t="str">
        <f>INPUT!N71</f>
        <v>0031</v>
      </c>
      <c r="L71" s="37" t="str">
        <f>INPUT!P71</f>
        <v>ABS</v>
      </c>
      <c r="M71" s="37" t="str">
        <f>INPUT!R71</f>
        <v>ABS</v>
      </c>
      <c r="N71" s="37" t="str">
        <f>INPUT!T71</f>
        <v>ABS</v>
      </c>
      <c r="O71" s="46" t="str">
        <f>INPUT!S71</f>
        <v>ABS</v>
      </c>
      <c r="P71" s="202" t="str">
        <f>INPUT!U71</f>
        <v>0051</v>
      </c>
      <c r="Q71" s="37" t="str">
        <f>INPUT!W71</f>
        <v>ABS</v>
      </c>
      <c r="R71" s="37" t="str">
        <f>INPUT!Y71</f>
        <v>ABS</v>
      </c>
      <c r="S71" s="37" t="str">
        <f>INPUT!AA71</f>
        <v>ABS</v>
      </c>
      <c r="T71" s="38" t="str">
        <f>INPUT!Z71</f>
        <v>ABS</v>
      </c>
      <c r="U71" s="209">
        <f>INPUT!AB71</f>
        <v>0</v>
      </c>
      <c r="V71" s="37" t="str">
        <f>INPUT!AD71</f>
        <v>ABS</v>
      </c>
      <c r="W71" s="37" t="str">
        <f>INPUT!AF71</f>
        <v>ABS</v>
      </c>
      <c r="X71" s="37" t="str">
        <f>INPUT!AH71</f>
        <v>ABS</v>
      </c>
      <c r="Y71" s="46" t="str">
        <f>INPUT!AG71</f>
        <v>ABS</v>
      </c>
      <c r="Z71" s="209">
        <f>INPUT!AI71</f>
        <v>0</v>
      </c>
      <c r="AA71" s="37" t="str">
        <f>INPUT!AK71</f>
        <v>ABS</v>
      </c>
      <c r="AB71" s="37" t="str">
        <f>INPUT!AM71</f>
        <v>ABS</v>
      </c>
      <c r="AC71" s="37" t="str">
        <f>INPUT!AO71</f>
        <v>ABS</v>
      </c>
      <c r="AD71" s="46" t="str">
        <f>INPUT!AN71</f>
        <v>ABS</v>
      </c>
      <c r="AE71" s="204">
        <f>INPUT!AP71</f>
        <v>0</v>
      </c>
      <c r="AF71" s="37" t="str">
        <f>INPUT!AR71</f>
        <v>ABS</v>
      </c>
      <c r="AG71" s="37" t="str">
        <f>INPUT!AT71</f>
        <v>ABS</v>
      </c>
      <c r="AH71" s="37" t="str">
        <f>INPUT!AV71</f>
        <v>ABS</v>
      </c>
      <c r="AI71" s="38" t="str">
        <f>INPUT!AU71</f>
        <v>ABS</v>
      </c>
      <c r="AJ71" s="40" t="str">
        <f t="shared" si="4"/>
        <v>-</v>
      </c>
      <c r="AK71" s="211">
        <f>INPUT!AX71</f>
        <v>0</v>
      </c>
      <c r="AL71" s="37" t="str">
        <f>INPUT!AZ71</f>
        <v>ABS</v>
      </c>
      <c r="AM71" s="37" t="str">
        <f>INPUT!BB71</f>
        <v>ABS</v>
      </c>
      <c r="AN71" s="37" t="str">
        <f>INPUT!BD71</f>
        <v>ABS</v>
      </c>
      <c r="AO71" s="212" t="str">
        <f>INPUT!BC71</f>
        <v>ABS</v>
      </c>
      <c r="AP71" s="41" t="str">
        <f t="shared" si="5"/>
        <v/>
      </c>
      <c r="AQ71" s="41" t="str">
        <f t="shared" si="6"/>
        <v>ABS</v>
      </c>
      <c r="AR71" s="41" t="str">
        <f t="shared" si="7"/>
        <v/>
      </c>
      <c r="AS71" s="30"/>
      <c r="AT71" s="30"/>
      <c r="AU71" s="30"/>
      <c r="AV71" s="30"/>
      <c r="AX71" s="114" t="str">
        <f>AJ71&amp;"_"&amp;COUNTIF($AJ$5:AJ71,AJ71)</f>
        <v>-_61</v>
      </c>
    </row>
    <row r="72" spans="1:50">
      <c r="A72" s="112"/>
      <c r="B72" s="44">
        <f>INPUT!F72</f>
        <v>0</v>
      </c>
      <c r="C72" s="50">
        <f>INPUT!C72</f>
        <v>0</v>
      </c>
      <c r="D72" s="130">
        <f>INPUT!D72</f>
        <v>0</v>
      </c>
      <c r="E72" s="51">
        <f>INPUT!E72</f>
        <v>0</v>
      </c>
      <c r="F72" s="39" t="str">
        <f>INPUT!G72</f>
        <v>0011</v>
      </c>
      <c r="G72" s="37" t="str">
        <f>INPUT!I72</f>
        <v>ABS</v>
      </c>
      <c r="H72" s="37" t="str">
        <f>INPUT!K72</f>
        <v>ABS</v>
      </c>
      <c r="I72" s="37" t="str">
        <f>INPUT!M72</f>
        <v>ABS</v>
      </c>
      <c r="J72" s="38" t="str">
        <f>INPUT!L72</f>
        <v>ABS</v>
      </c>
      <c r="K72" s="205" t="str">
        <f>INPUT!N72</f>
        <v>0031</v>
      </c>
      <c r="L72" s="37" t="str">
        <f>INPUT!P72</f>
        <v>ABS</v>
      </c>
      <c r="M72" s="37" t="str">
        <f>INPUT!R72</f>
        <v>ABS</v>
      </c>
      <c r="N72" s="37" t="str">
        <f>INPUT!T72</f>
        <v>ABS</v>
      </c>
      <c r="O72" s="46" t="str">
        <f>INPUT!S72</f>
        <v>ABS</v>
      </c>
      <c r="P72" s="202" t="str">
        <f>INPUT!U72</f>
        <v>0051</v>
      </c>
      <c r="Q72" s="37" t="str">
        <f>INPUT!W72</f>
        <v>ABS</v>
      </c>
      <c r="R72" s="37" t="str">
        <f>INPUT!Y72</f>
        <v>ABS</v>
      </c>
      <c r="S72" s="37" t="str">
        <f>INPUT!AA72</f>
        <v>ABS</v>
      </c>
      <c r="T72" s="38" t="str">
        <f>INPUT!Z72</f>
        <v>ABS</v>
      </c>
      <c r="U72" s="209">
        <f>INPUT!AB72</f>
        <v>0</v>
      </c>
      <c r="V72" s="37" t="str">
        <f>INPUT!AD72</f>
        <v>ABS</v>
      </c>
      <c r="W72" s="37" t="str">
        <f>INPUT!AF72</f>
        <v>ABS</v>
      </c>
      <c r="X72" s="37" t="str">
        <f>INPUT!AH72</f>
        <v>ABS</v>
      </c>
      <c r="Y72" s="46" t="str">
        <f>INPUT!AG72</f>
        <v>ABS</v>
      </c>
      <c r="Z72" s="209">
        <f>INPUT!AI72</f>
        <v>0</v>
      </c>
      <c r="AA72" s="37" t="str">
        <f>INPUT!AK72</f>
        <v>ABS</v>
      </c>
      <c r="AB72" s="37" t="str">
        <f>INPUT!AM72</f>
        <v>ABS</v>
      </c>
      <c r="AC72" s="37" t="str">
        <f>INPUT!AO72</f>
        <v>ABS</v>
      </c>
      <c r="AD72" s="46" t="str">
        <f>INPUT!AN72</f>
        <v>ABS</v>
      </c>
      <c r="AE72" s="204">
        <f>INPUT!AP72</f>
        <v>0</v>
      </c>
      <c r="AF72" s="37" t="str">
        <f>INPUT!AR72</f>
        <v>ABS</v>
      </c>
      <c r="AG72" s="37" t="str">
        <f>INPUT!AT72</f>
        <v>ABS</v>
      </c>
      <c r="AH72" s="37" t="str">
        <f>INPUT!AV72</f>
        <v>ABS</v>
      </c>
      <c r="AI72" s="38" t="str">
        <f>INPUT!AU72</f>
        <v>ABS</v>
      </c>
      <c r="AJ72" s="40" t="str">
        <f t="shared" si="4"/>
        <v>-</v>
      </c>
      <c r="AK72" s="211">
        <f>INPUT!AX72</f>
        <v>0</v>
      </c>
      <c r="AL72" s="37" t="str">
        <f>INPUT!AZ72</f>
        <v>ABS</v>
      </c>
      <c r="AM72" s="37" t="str">
        <f>INPUT!BB72</f>
        <v>ABS</v>
      </c>
      <c r="AN72" s="37" t="str">
        <f>INPUT!BD72</f>
        <v>ABS</v>
      </c>
      <c r="AO72" s="212" t="str">
        <f>INPUT!BC72</f>
        <v>ABS</v>
      </c>
      <c r="AP72" s="41" t="str">
        <f t="shared" si="5"/>
        <v/>
      </c>
      <c r="AQ72" s="41" t="str">
        <f t="shared" si="6"/>
        <v>ABS</v>
      </c>
      <c r="AR72" s="41" t="str">
        <f t="shared" si="7"/>
        <v/>
      </c>
      <c r="AS72" s="30"/>
      <c r="AT72" s="30"/>
      <c r="AU72" s="30"/>
      <c r="AV72" s="30"/>
      <c r="AX72" s="114" t="str">
        <f>AJ72&amp;"_"&amp;COUNTIF($AJ$5:AJ72,AJ72)</f>
        <v>-_62</v>
      </c>
    </row>
    <row r="73" spans="1:50">
      <c r="A73" s="112"/>
      <c r="B73" s="44">
        <f>INPUT!F73</f>
        <v>0</v>
      </c>
      <c r="C73" s="50">
        <f>INPUT!C73</f>
        <v>0</v>
      </c>
      <c r="D73" s="130">
        <f>INPUT!D73</f>
        <v>0</v>
      </c>
      <c r="E73" s="51">
        <f>INPUT!E73</f>
        <v>0</v>
      </c>
      <c r="F73" s="39" t="str">
        <f>INPUT!G73</f>
        <v>0011</v>
      </c>
      <c r="G73" s="37" t="str">
        <f>INPUT!I73</f>
        <v>ABS</v>
      </c>
      <c r="H73" s="37" t="str">
        <f>INPUT!K73</f>
        <v>ABS</v>
      </c>
      <c r="I73" s="37" t="str">
        <f>INPUT!M73</f>
        <v>ABS</v>
      </c>
      <c r="J73" s="38" t="str">
        <f>INPUT!L73</f>
        <v>ABS</v>
      </c>
      <c r="K73" s="205" t="str">
        <f>INPUT!N73</f>
        <v>0031</v>
      </c>
      <c r="L73" s="37" t="str">
        <f>INPUT!P73</f>
        <v>ABS</v>
      </c>
      <c r="M73" s="37" t="str">
        <f>INPUT!R73</f>
        <v>ABS</v>
      </c>
      <c r="N73" s="37" t="str">
        <f>INPUT!T73</f>
        <v>ABS</v>
      </c>
      <c r="O73" s="46" t="str">
        <f>INPUT!S73</f>
        <v>ABS</v>
      </c>
      <c r="P73" s="202" t="str">
        <f>INPUT!U73</f>
        <v>0051</v>
      </c>
      <c r="Q73" s="37" t="str">
        <f>INPUT!W73</f>
        <v>ABS</v>
      </c>
      <c r="R73" s="37" t="str">
        <f>INPUT!Y73</f>
        <v>ABS</v>
      </c>
      <c r="S73" s="37" t="str">
        <f>INPUT!AA73</f>
        <v>ABS</v>
      </c>
      <c r="T73" s="38" t="str">
        <f>INPUT!Z73</f>
        <v>ABS</v>
      </c>
      <c r="U73" s="209">
        <f>INPUT!AB73</f>
        <v>0</v>
      </c>
      <c r="V73" s="37" t="str">
        <f>INPUT!AD73</f>
        <v>ABS</v>
      </c>
      <c r="W73" s="37" t="str">
        <f>INPUT!AF73</f>
        <v>ABS</v>
      </c>
      <c r="X73" s="37" t="str">
        <f>INPUT!AH73</f>
        <v>ABS</v>
      </c>
      <c r="Y73" s="46" t="str">
        <f>INPUT!AG73</f>
        <v>ABS</v>
      </c>
      <c r="Z73" s="209">
        <f>INPUT!AI73</f>
        <v>0</v>
      </c>
      <c r="AA73" s="37" t="str">
        <f>INPUT!AK73</f>
        <v>ABS</v>
      </c>
      <c r="AB73" s="37" t="str">
        <f>INPUT!AM73</f>
        <v>ABS</v>
      </c>
      <c r="AC73" s="37" t="str">
        <f>INPUT!AO73</f>
        <v>ABS</v>
      </c>
      <c r="AD73" s="46" t="str">
        <f>INPUT!AN73</f>
        <v>ABS</v>
      </c>
      <c r="AE73" s="204">
        <f>INPUT!AP73</f>
        <v>0</v>
      </c>
      <c r="AF73" s="37" t="str">
        <f>INPUT!AR73</f>
        <v>ABS</v>
      </c>
      <c r="AG73" s="37" t="str">
        <f>INPUT!AT73</f>
        <v>ABS</v>
      </c>
      <c r="AH73" s="37" t="str">
        <f>INPUT!AV73</f>
        <v>ABS</v>
      </c>
      <c r="AI73" s="38" t="str">
        <f>INPUT!AU73</f>
        <v>ABS</v>
      </c>
      <c r="AJ73" s="40" t="str">
        <f t="shared" si="4"/>
        <v>-</v>
      </c>
      <c r="AK73" s="211">
        <f>INPUT!AX73</f>
        <v>0</v>
      </c>
      <c r="AL73" s="37" t="str">
        <f>INPUT!AZ73</f>
        <v>ABS</v>
      </c>
      <c r="AM73" s="37" t="str">
        <f>INPUT!BB73</f>
        <v>ABS</v>
      </c>
      <c r="AN73" s="37" t="str">
        <f>INPUT!BD73</f>
        <v>ABS</v>
      </c>
      <c r="AO73" s="212" t="str">
        <f>INPUT!BC73</f>
        <v>ABS</v>
      </c>
      <c r="AP73" s="41" t="str">
        <f t="shared" si="5"/>
        <v/>
      </c>
      <c r="AQ73" s="41" t="str">
        <f t="shared" si="6"/>
        <v>ABS</v>
      </c>
      <c r="AR73" s="41" t="str">
        <f t="shared" si="7"/>
        <v/>
      </c>
      <c r="AS73" s="30"/>
      <c r="AT73" s="30"/>
      <c r="AU73" s="30"/>
      <c r="AV73" s="30"/>
      <c r="AX73" s="114" t="str">
        <f>AJ73&amp;"_"&amp;COUNTIF($AJ$5:AJ73,AJ73)</f>
        <v>-_63</v>
      </c>
    </row>
    <row r="74" spans="1:50">
      <c r="A74" s="112"/>
      <c r="B74" s="44">
        <f>INPUT!F74</f>
        <v>0</v>
      </c>
      <c r="C74" s="50">
        <f>INPUT!C74</f>
        <v>0</v>
      </c>
      <c r="D74" s="130">
        <f>INPUT!D74</f>
        <v>0</v>
      </c>
      <c r="E74" s="51">
        <f>INPUT!E74</f>
        <v>0</v>
      </c>
      <c r="F74" s="39" t="str">
        <f>INPUT!G74</f>
        <v>0011</v>
      </c>
      <c r="G74" s="37" t="str">
        <f>INPUT!I74</f>
        <v>ABS</v>
      </c>
      <c r="H74" s="37" t="str">
        <f>INPUT!K74</f>
        <v>ABS</v>
      </c>
      <c r="I74" s="37" t="str">
        <f>INPUT!M74</f>
        <v>ABS</v>
      </c>
      <c r="J74" s="38" t="str">
        <f>INPUT!L74</f>
        <v>ABS</v>
      </c>
      <c r="K74" s="205" t="str">
        <f>INPUT!N74</f>
        <v>0031</v>
      </c>
      <c r="L74" s="37" t="str">
        <f>INPUT!P74</f>
        <v>ABS</v>
      </c>
      <c r="M74" s="37" t="str">
        <f>INPUT!R74</f>
        <v>ABS</v>
      </c>
      <c r="N74" s="37" t="str">
        <f>INPUT!T74</f>
        <v>ABS</v>
      </c>
      <c r="O74" s="46" t="str">
        <f>INPUT!S74</f>
        <v>ABS</v>
      </c>
      <c r="P74" s="202" t="str">
        <f>INPUT!U74</f>
        <v>0051</v>
      </c>
      <c r="Q74" s="37" t="str">
        <f>INPUT!W74</f>
        <v>ABS</v>
      </c>
      <c r="R74" s="37" t="str">
        <f>INPUT!Y74</f>
        <v>ABS</v>
      </c>
      <c r="S74" s="37" t="str">
        <f>INPUT!AA74</f>
        <v>ABS</v>
      </c>
      <c r="T74" s="38" t="str">
        <f>INPUT!Z74</f>
        <v>ABS</v>
      </c>
      <c r="U74" s="209">
        <f>INPUT!AB74</f>
        <v>0</v>
      </c>
      <c r="V74" s="37" t="str">
        <f>INPUT!AD74</f>
        <v>ABS</v>
      </c>
      <c r="W74" s="37" t="str">
        <f>INPUT!AF74</f>
        <v>ABS</v>
      </c>
      <c r="X74" s="37" t="str">
        <f>INPUT!AH74</f>
        <v>ABS</v>
      </c>
      <c r="Y74" s="46" t="str">
        <f>INPUT!AG74</f>
        <v>ABS</v>
      </c>
      <c r="Z74" s="209">
        <f>INPUT!AI74</f>
        <v>0</v>
      </c>
      <c r="AA74" s="37" t="str">
        <f>INPUT!AK74</f>
        <v>ABS</v>
      </c>
      <c r="AB74" s="37" t="str">
        <f>INPUT!AM74</f>
        <v>ABS</v>
      </c>
      <c r="AC74" s="37" t="str">
        <f>INPUT!AO74</f>
        <v>ABS</v>
      </c>
      <c r="AD74" s="46" t="str">
        <f>INPUT!AN74</f>
        <v>ABS</v>
      </c>
      <c r="AE74" s="204">
        <f>INPUT!AP74</f>
        <v>0</v>
      </c>
      <c r="AF74" s="37" t="str">
        <f>INPUT!AR74</f>
        <v>ABS</v>
      </c>
      <c r="AG74" s="37" t="str">
        <f>INPUT!AT74</f>
        <v>ABS</v>
      </c>
      <c r="AH74" s="37" t="str">
        <f>INPUT!AV74</f>
        <v>ABS</v>
      </c>
      <c r="AI74" s="38" t="str">
        <f>INPUT!AU74</f>
        <v>ABS</v>
      </c>
      <c r="AJ74" s="40" t="str">
        <f t="shared" si="4"/>
        <v>-</v>
      </c>
      <c r="AK74" s="211">
        <f>INPUT!AX74</f>
        <v>0</v>
      </c>
      <c r="AL74" s="37" t="str">
        <f>INPUT!AZ74</f>
        <v>ABS</v>
      </c>
      <c r="AM74" s="37" t="str">
        <f>INPUT!BB74</f>
        <v>ABS</v>
      </c>
      <c r="AN74" s="37" t="str">
        <f>INPUT!BD74</f>
        <v>ABS</v>
      </c>
      <c r="AO74" s="212" t="str">
        <f>INPUT!BC74</f>
        <v>ABS</v>
      </c>
      <c r="AP74" s="41" t="str">
        <f t="shared" si="5"/>
        <v/>
      </c>
      <c r="AQ74" s="41" t="str">
        <f t="shared" si="6"/>
        <v>ABS</v>
      </c>
      <c r="AR74" s="41" t="str">
        <f t="shared" si="7"/>
        <v/>
      </c>
      <c r="AS74" s="30"/>
      <c r="AT74" s="30"/>
      <c r="AU74" s="30"/>
      <c r="AV74" s="30"/>
      <c r="AX74" s="114" t="str">
        <f>AJ74&amp;"_"&amp;COUNTIF($AJ$5:AJ74,AJ74)</f>
        <v>-_64</v>
      </c>
    </row>
    <row r="75" spans="1:50">
      <c r="A75" s="112"/>
      <c r="B75" s="44">
        <f>INPUT!F75</f>
        <v>0</v>
      </c>
      <c r="C75" s="50">
        <f>INPUT!C75</f>
        <v>0</v>
      </c>
      <c r="D75" s="130">
        <f>INPUT!D75</f>
        <v>0</v>
      </c>
      <c r="E75" s="51">
        <f>INPUT!E75</f>
        <v>0</v>
      </c>
      <c r="F75" s="39" t="str">
        <f>INPUT!G75</f>
        <v>0011</v>
      </c>
      <c r="G75" s="37" t="str">
        <f>INPUT!I75</f>
        <v>ABS</v>
      </c>
      <c r="H75" s="37" t="str">
        <f>INPUT!K75</f>
        <v>ABS</v>
      </c>
      <c r="I75" s="37" t="str">
        <f>INPUT!M75</f>
        <v>ABS</v>
      </c>
      <c r="J75" s="38" t="str">
        <f>INPUT!L75</f>
        <v>ABS</v>
      </c>
      <c r="K75" s="205" t="str">
        <f>INPUT!N75</f>
        <v>0031</v>
      </c>
      <c r="L75" s="37" t="str">
        <f>INPUT!P75</f>
        <v>ABS</v>
      </c>
      <c r="M75" s="37" t="str">
        <f>INPUT!R75</f>
        <v>ABS</v>
      </c>
      <c r="N75" s="37" t="str">
        <f>INPUT!T75</f>
        <v>ABS</v>
      </c>
      <c r="O75" s="46" t="str">
        <f>INPUT!S75</f>
        <v>ABS</v>
      </c>
      <c r="P75" s="202" t="str">
        <f>INPUT!U75</f>
        <v>0051</v>
      </c>
      <c r="Q75" s="37" t="str">
        <f>INPUT!W75</f>
        <v>ABS</v>
      </c>
      <c r="R75" s="37" t="str">
        <f>INPUT!Y75</f>
        <v>ABS</v>
      </c>
      <c r="S75" s="37" t="str">
        <f>INPUT!AA75</f>
        <v>ABS</v>
      </c>
      <c r="T75" s="38" t="str">
        <f>INPUT!Z75</f>
        <v>ABS</v>
      </c>
      <c r="U75" s="209">
        <f>INPUT!AB75</f>
        <v>0</v>
      </c>
      <c r="V75" s="37" t="str">
        <f>INPUT!AD75</f>
        <v>ABS</v>
      </c>
      <c r="W75" s="37" t="str">
        <f>INPUT!AF75</f>
        <v>ABS</v>
      </c>
      <c r="X75" s="37" t="str">
        <f>INPUT!AH75</f>
        <v>ABS</v>
      </c>
      <c r="Y75" s="46" t="str">
        <f>INPUT!AG75</f>
        <v>ABS</v>
      </c>
      <c r="Z75" s="209">
        <f>INPUT!AI75</f>
        <v>0</v>
      </c>
      <c r="AA75" s="37" t="str">
        <f>INPUT!AK75</f>
        <v>ABS</v>
      </c>
      <c r="AB75" s="37" t="str">
        <f>INPUT!AM75</f>
        <v>ABS</v>
      </c>
      <c r="AC75" s="37" t="str">
        <f>INPUT!AO75</f>
        <v>ABS</v>
      </c>
      <c r="AD75" s="46" t="str">
        <f>INPUT!AN75</f>
        <v>ABS</v>
      </c>
      <c r="AE75" s="204">
        <f>INPUT!AP75</f>
        <v>0</v>
      </c>
      <c r="AF75" s="37" t="str">
        <f>INPUT!AR75</f>
        <v>ABS</v>
      </c>
      <c r="AG75" s="37" t="str">
        <f>INPUT!AT75</f>
        <v>ABS</v>
      </c>
      <c r="AH75" s="37" t="str">
        <f>INPUT!AV75</f>
        <v>ABS</v>
      </c>
      <c r="AI75" s="38" t="str">
        <f>INPUT!AU75</f>
        <v>ABS</v>
      </c>
      <c r="AJ75" s="40" t="str">
        <f t="shared" si="4"/>
        <v>-</v>
      </c>
      <c r="AK75" s="211">
        <f>INPUT!AX75</f>
        <v>0</v>
      </c>
      <c r="AL75" s="37" t="str">
        <f>INPUT!AZ75</f>
        <v>ABS</v>
      </c>
      <c r="AM75" s="37" t="str">
        <f>INPUT!BB75</f>
        <v>ABS</v>
      </c>
      <c r="AN75" s="37" t="str">
        <f>INPUT!BD75</f>
        <v>ABS</v>
      </c>
      <c r="AO75" s="212" t="str">
        <f>INPUT!BC75</f>
        <v>ABS</v>
      </c>
      <c r="AP75" s="41" t="str">
        <f t="shared" si="5"/>
        <v/>
      </c>
      <c r="AQ75" s="41" t="str">
        <f t="shared" si="6"/>
        <v>ABS</v>
      </c>
      <c r="AR75" s="41" t="str">
        <f t="shared" si="7"/>
        <v/>
      </c>
      <c r="AS75" s="30"/>
      <c r="AT75" s="30"/>
      <c r="AU75" s="30"/>
      <c r="AV75" s="30"/>
      <c r="AX75" s="114" t="str">
        <f>AJ75&amp;"_"&amp;COUNTIF($AJ$5:AJ75,AJ75)</f>
        <v>-_65</v>
      </c>
    </row>
    <row r="76" spans="1:50">
      <c r="A76" s="112"/>
      <c r="B76" s="44">
        <f>INPUT!F76</f>
        <v>0</v>
      </c>
      <c r="C76" s="50">
        <f>INPUT!C76</f>
        <v>0</v>
      </c>
      <c r="D76" s="130">
        <f>INPUT!D76</f>
        <v>0</v>
      </c>
      <c r="E76" s="51">
        <f>INPUT!E76</f>
        <v>0</v>
      </c>
      <c r="F76" s="39" t="str">
        <f>INPUT!G76</f>
        <v>0011</v>
      </c>
      <c r="G76" s="37" t="str">
        <f>INPUT!I76</f>
        <v>ABS</v>
      </c>
      <c r="H76" s="37" t="str">
        <f>INPUT!K76</f>
        <v>ABS</v>
      </c>
      <c r="I76" s="37" t="str">
        <f>INPUT!M76</f>
        <v>ABS</v>
      </c>
      <c r="J76" s="38" t="str">
        <f>INPUT!L76</f>
        <v>ABS</v>
      </c>
      <c r="K76" s="205" t="str">
        <f>INPUT!N76</f>
        <v>0031</v>
      </c>
      <c r="L76" s="37" t="str">
        <f>INPUT!P76</f>
        <v>ABS</v>
      </c>
      <c r="M76" s="37" t="str">
        <f>INPUT!R76</f>
        <v>ABS</v>
      </c>
      <c r="N76" s="37" t="str">
        <f>INPUT!T76</f>
        <v>ABS</v>
      </c>
      <c r="O76" s="46" t="str">
        <f>INPUT!S76</f>
        <v>ABS</v>
      </c>
      <c r="P76" s="202" t="str">
        <f>INPUT!U76</f>
        <v>0051</v>
      </c>
      <c r="Q76" s="37" t="str">
        <f>INPUT!W76</f>
        <v>ABS</v>
      </c>
      <c r="R76" s="37" t="str">
        <f>INPUT!Y76</f>
        <v>ABS</v>
      </c>
      <c r="S76" s="37" t="str">
        <f>INPUT!AA76</f>
        <v>ABS</v>
      </c>
      <c r="T76" s="38" t="str">
        <f>INPUT!Z76</f>
        <v>ABS</v>
      </c>
      <c r="U76" s="209">
        <f>INPUT!AB76</f>
        <v>0</v>
      </c>
      <c r="V76" s="37" t="str">
        <f>INPUT!AD76</f>
        <v>ABS</v>
      </c>
      <c r="W76" s="37" t="str">
        <f>INPUT!AF76</f>
        <v>ABS</v>
      </c>
      <c r="X76" s="37" t="str">
        <f>INPUT!AH76</f>
        <v>ABS</v>
      </c>
      <c r="Y76" s="46" t="str">
        <f>INPUT!AG76</f>
        <v>ABS</v>
      </c>
      <c r="Z76" s="209">
        <f>INPUT!AI76</f>
        <v>0</v>
      </c>
      <c r="AA76" s="37" t="str">
        <f>INPUT!AK76</f>
        <v>ABS</v>
      </c>
      <c r="AB76" s="37" t="str">
        <f>INPUT!AM76</f>
        <v>ABS</v>
      </c>
      <c r="AC76" s="37" t="str">
        <f>INPUT!AO76</f>
        <v>ABS</v>
      </c>
      <c r="AD76" s="46" t="str">
        <f>INPUT!AN76</f>
        <v>ABS</v>
      </c>
      <c r="AE76" s="204">
        <f>INPUT!AP76</f>
        <v>0</v>
      </c>
      <c r="AF76" s="37" t="str">
        <f>INPUT!AR76</f>
        <v>ABS</v>
      </c>
      <c r="AG76" s="37" t="str">
        <f>INPUT!AT76</f>
        <v>ABS</v>
      </c>
      <c r="AH76" s="37" t="str">
        <f>INPUT!AV76</f>
        <v>ABS</v>
      </c>
      <c r="AI76" s="38" t="str">
        <f>INPUT!AU76</f>
        <v>ABS</v>
      </c>
      <c r="AJ76" s="40" t="str">
        <f t="shared" si="4"/>
        <v>-</v>
      </c>
      <c r="AK76" s="211">
        <f>INPUT!AX76</f>
        <v>0</v>
      </c>
      <c r="AL76" s="37" t="str">
        <f>INPUT!AZ76</f>
        <v>ABS</v>
      </c>
      <c r="AM76" s="37" t="str">
        <f>INPUT!BB76</f>
        <v>ABS</v>
      </c>
      <c r="AN76" s="37" t="str">
        <f>INPUT!BD76</f>
        <v>ABS</v>
      </c>
      <c r="AO76" s="212" t="str">
        <f>INPUT!BC76</f>
        <v>ABS</v>
      </c>
      <c r="AP76" s="41" t="str">
        <f t="shared" si="5"/>
        <v/>
      </c>
      <c r="AQ76" s="41" t="str">
        <f t="shared" si="6"/>
        <v>ABS</v>
      </c>
      <c r="AR76" s="41" t="str">
        <f t="shared" si="7"/>
        <v/>
      </c>
      <c r="AS76" s="30"/>
      <c r="AT76" s="30"/>
      <c r="AU76" s="30"/>
      <c r="AV76" s="30"/>
      <c r="AX76" s="114" t="str">
        <f>AJ76&amp;"_"&amp;COUNTIF($AJ$5:AJ76,AJ76)</f>
        <v>-_66</v>
      </c>
    </row>
    <row r="77" spans="1:50">
      <c r="A77" s="112"/>
      <c r="B77" s="44">
        <f>INPUT!F77</f>
        <v>0</v>
      </c>
      <c r="C77" s="50">
        <f>INPUT!C77</f>
        <v>0</v>
      </c>
      <c r="D77" s="130">
        <f>INPUT!D77</f>
        <v>0</v>
      </c>
      <c r="E77" s="51">
        <f>INPUT!E77</f>
        <v>0</v>
      </c>
      <c r="F77" s="39" t="str">
        <f>INPUT!G77</f>
        <v>0011</v>
      </c>
      <c r="G77" s="37" t="str">
        <f>INPUT!I77</f>
        <v>ABS</v>
      </c>
      <c r="H77" s="37" t="str">
        <f>INPUT!K77</f>
        <v>ABS</v>
      </c>
      <c r="I77" s="37" t="str">
        <f>INPUT!M77</f>
        <v>ABS</v>
      </c>
      <c r="J77" s="38" t="str">
        <f>INPUT!L77</f>
        <v>ABS</v>
      </c>
      <c r="K77" s="205" t="str">
        <f>INPUT!N77</f>
        <v>0031</v>
      </c>
      <c r="L77" s="37" t="str">
        <f>INPUT!P77</f>
        <v>ABS</v>
      </c>
      <c r="M77" s="37" t="str">
        <f>INPUT!R77</f>
        <v>ABS</v>
      </c>
      <c r="N77" s="37" t="str">
        <f>INPUT!T77</f>
        <v>ABS</v>
      </c>
      <c r="O77" s="46" t="str">
        <f>INPUT!S77</f>
        <v>ABS</v>
      </c>
      <c r="P77" s="202" t="str">
        <f>INPUT!U77</f>
        <v>0051</v>
      </c>
      <c r="Q77" s="37" t="str">
        <f>INPUT!W77</f>
        <v>ABS</v>
      </c>
      <c r="R77" s="37" t="str">
        <f>INPUT!Y77</f>
        <v>ABS</v>
      </c>
      <c r="S77" s="37" t="str">
        <f>INPUT!AA77</f>
        <v>ABS</v>
      </c>
      <c r="T77" s="38" t="str">
        <f>INPUT!Z77</f>
        <v>ABS</v>
      </c>
      <c r="U77" s="209">
        <f>INPUT!AB77</f>
        <v>0</v>
      </c>
      <c r="V77" s="37" t="str">
        <f>INPUT!AD77</f>
        <v>ABS</v>
      </c>
      <c r="W77" s="37" t="str">
        <f>INPUT!AF77</f>
        <v>ABS</v>
      </c>
      <c r="X77" s="37" t="str">
        <f>INPUT!AH77</f>
        <v>ABS</v>
      </c>
      <c r="Y77" s="46" t="str">
        <f>INPUT!AG77</f>
        <v>ABS</v>
      </c>
      <c r="Z77" s="209">
        <f>INPUT!AI77</f>
        <v>0</v>
      </c>
      <c r="AA77" s="37" t="str">
        <f>INPUT!AK77</f>
        <v>ABS</v>
      </c>
      <c r="AB77" s="37" t="str">
        <f>INPUT!AM77</f>
        <v>ABS</v>
      </c>
      <c r="AC77" s="37" t="str">
        <f>INPUT!AO77</f>
        <v>ABS</v>
      </c>
      <c r="AD77" s="46" t="str">
        <f>INPUT!AN77</f>
        <v>ABS</v>
      </c>
      <c r="AE77" s="204">
        <f>INPUT!AP77</f>
        <v>0</v>
      </c>
      <c r="AF77" s="37" t="str">
        <f>INPUT!AR77</f>
        <v>ABS</v>
      </c>
      <c r="AG77" s="37" t="str">
        <f>INPUT!AT77</f>
        <v>ABS</v>
      </c>
      <c r="AH77" s="37" t="str">
        <f>INPUT!AV77</f>
        <v>ABS</v>
      </c>
      <c r="AI77" s="38" t="str">
        <f>INPUT!AU77</f>
        <v>ABS</v>
      </c>
      <c r="AJ77" s="40" t="str">
        <f t="shared" si="4"/>
        <v>-</v>
      </c>
      <c r="AK77" s="211">
        <f>INPUT!AX77</f>
        <v>0</v>
      </c>
      <c r="AL77" s="37" t="str">
        <f>INPUT!AZ77</f>
        <v>ABS</v>
      </c>
      <c r="AM77" s="37" t="str">
        <f>INPUT!BB77</f>
        <v>ABS</v>
      </c>
      <c r="AN77" s="37" t="str">
        <f>INPUT!BD77</f>
        <v>ABS</v>
      </c>
      <c r="AO77" s="212" t="str">
        <f>INPUT!BC77</f>
        <v>ABS</v>
      </c>
      <c r="AP77" s="41" t="str">
        <f t="shared" si="5"/>
        <v/>
      </c>
      <c r="AQ77" s="41" t="str">
        <f t="shared" si="6"/>
        <v>ABS</v>
      </c>
      <c r="AR77" s="41" t="str">
        <f t="shared" si="7"/>
        <v/>
      </c>
      <c r="AS77" s="30"/>
      <c r="AT77" s="30"/>
      <c r="AU77" s="30"/>
      <c r="AV77" s="30"/>
      <c r="AX77" s="114" t="str">
        <f>AJ77&amp;"_"&amp;COUNTIF($AJ$5:AJ77,AJ77)</f>
        <v>-_67</v>
      </c>
    </row>
    <row r="78" spans="1:50">
      <c r="A78" s="112"/>
      <c r="B78" s="44">
        <f>INPUT!F78</f>
        <v>0</v>
      </c>
      <c r="C78" s="50">
        <f>INPUT!C78</f>
        <v>0</v>
      </c>
      <c r="D78" s="130">
        <f>INPUT!D78</f>
        <v>0</v>
      </c>
      <c r="E78" s="51">
        <f>INPUT!E78</f>
        <v>0</v>
      </c>
      <c r="F78" s="39" t="str">
        <f>INPUT!G78</f>
        <v>0011</v>
      </c>
      <c r="G78" s="37" t="str">
        <f>INPUT!I78</f>
        <v>ABS</v>
      </c>
      <c r="H78" s="37" t="str">
        <f>INPUT!K78</f>
        <v>ABS</v>
      </c>
      <c r="I78" s="37" t="str">
        <f>INPUT!M78</f>
        <v>ABS</v>
      </c>
      <c r="J78" s="38" t="str">
        <f>INPUT!L78</f>
        <v>ABS</v>
      </c>
      <c r="K78" s="205" t="str">
        <f>INPUT!N78</f>
        <v>0031</v>
      </c>
      <c r="L78" s="37" t="str">
        <f>INPUT!P78</f>
        <v>ABS</v>
      </c>
      <c r="M78" s="37" t="str">
        <f>INPUT!R78</f>
        <v>ABS</v>
      </c>
      <c r="N78" s="37" t="str">
        <f>INPUT!T78</f>
        <v>ABS</v>
      </c>
      <c r="O78" s="46" t="str">
        <f>INPUT!S78</f>
        <v>ABS</v>
      </c>
      <c r="P78" s="202" t="str">
        <f>INPUT!U78</f>
        <v>0051</v>
      </c>
      <c r="Q78" s="37" t="str">
        <f>INPUT!W78</f>
        <v>ABS</v>
      </c>
      <c r="R78" s="37" t="str">
        <f>INPUT!Y78</f>
        <v>ABS</v>
      </c>
      <c r="S78" s="37" t="str">
        <f>INPUT!AA78</f>
        <v>ABS</v>
      </c>
      <c r="T78" s="38" t="str">
        <f>INPUT!Z78</f>
        <v>ABS</v>
      </c>
      <c r="U78" s="209">
        <f>INPUT!AB78</f>
        <v>0</v>
      </c>
      <c r="V78" s="37" t="str">
        <f>INPUT!AD78</f>
        <v>ABS</v>
      </c>
      <c r="W78" s="37" t="str">
        <f>INPUT!AF78</f>
        <v>ABS</v>
      </c>
      <c r="X78" s="37" t="str">
        <f>INPUT!AH78</f>
        <v>ABS</v>
      </c>
      <c r="Y78" s="46" t="str">
        <f>INPUT!AG78</f>
        <v>ABS</v>
      </c>
      <c r="Z78" s="209">
        <f>INPUT!AI78</f>
        <v>0</v>
      </c>
      <c r="AA78" s="37" t="str">
        <f>INPUT!AK78</f>
        <v>ABS</v>
      </c>
      <c r="AB78" s="37" t="str">
        <f>INPUT!AM78</f>
        <v>ABS</v>
      </c>
      <c r="AC78" s="37" t="str">
        <f>INPUT!AO78</f>
        <v>ABS</v>
      </c>
      <c r="AD78" s="46" t="str">
        <f>INPUT!AN78</f>
        <v>ABS</v>
      </c>
      <c r="AE78" s="204">
        <f>INPUT!AP78</f>
        <v>0</v>
      </c>
      <c r="AF78" s="37" t="str">
        <f>INPUT!AR78</f>
        <v>ABS</v>
      </c>
      <c r="AG78" s="37" t="str">
        <f>INPUT!AT78</f>
        <v>ABS</v>
      </c>
      <c r="AH78" s="37" t="str">
        <f>INPUT!AV78</f>
        <v>ABS</v>
      </c>
      <c r="AI78" s="38" t="str">
        <f>INPUT!AU78</f>
        <v>ABS</v>
      </c>
      <c r="AJ78" s="40" t="str">
        <f t="shared" si="4"/>
        <v>-</v>
      </c>
      <c r="AK78" s="211">
        <f>INPUT!AX78</f>
        <v>0</v>
      </c>
      <c r="AL78" s="37" t="str">
        <f>INPUT!AZ78</f>
        <v>ABS</v>
      </c>
      <c r="AM78" s="37" t="str">
        <f>INPUT!BB78</f>
        <v>ABS</v>
      </c>
      <c r="AN78" s="37" t="str">
        <f>INPUT!BD78</f>
        <v>ABS</v>
      </c>
      <c r="AO78" s="212" t="str">
        <f>INPUT!BC78</f>
        <v>ABS</v>
      </c>
      <c r="AP78" s="41" t="str">
        <f t="shared" si="5"/>
        <v/>
      </c>
      <c r="AQ78" s="41" t="str">
        <f t="shared" si="6"/>
        <v>ABS</v>
      </c>
      <c r="AR78" s="41" t="str">
        <f t="shared" si="7"/>
        <v/>
      </c>
      <c r="AS78" s="30"/>
      <c r="AT78" s="30"/>
      <c r="AU78" s="30"/>
      <c r="AV78" s="30"/>
      <c r="AX78" s="114" t="str">
        <f>AJ78&amp;"_"&amp;COUNTIF($AJ$5:AJ78,AJ78)</f>
        <v>-_68</v>
      </c>
    </row>
    <row r="79" spans="1:50">
      <c r="A79" s="112"/>
      <c r="B79" s="44">
        <f>INPUT!F79</f>
        <v>0</v>
      </c>
      <c r="C79" s="50">
        <f>INPUT!C79</f>
        <v>0</v>
      </c>
      <c r="D79" s="130">
        <f>INPUT!D79</f>
        <v>0</v>
      </c>
      <c r="E79" s="51">
        <f>INPUT!E79</f>
        <v>0</v>
      </c>
      <c r="F79" s="39" t="str">
        <f>INPUT!G79</f>
        <v>0011</v>
      </c>
      <c r="G79" s="37" t="str">
        <f>INPUT!I79</f>
        <v>ABS</v>
      </c>
      <c r="H79" s="37" t="str">
        <f>INPUT!K79</f>
        <v>ABS</v>
      </c>
      <c r="I79" s="37" t="str">
        <f>INPUT!M79</f>
        <v>ABS</v>
      </c>
      <c r="J79" s="38" t="str">
        <f>INPUT!L79</f>
        <v>ABS</v>
      </c>
      <c r="K79" s="205" t="str">
        <f>INPUT!N79</f>
        <v>0031</v>
      </c>
      <c r="L79" s="37" t="str">
        <f>INPUT!P79</f>
        <v>ABS</v>
      </c>
      <c r="M79" s="37" t="str">
        <f>INPUT!R79</f>
        <v>ABS</v>
      </c>
      <c r="N79" s="37" t="str">
        <f>INPUT!T79</f>
        <v>ABS</v>
      </c>
      <c r="O79" s="46" t="str">
        <f>INPUT!S79</f>
        <v>ABS</v>
      </c>
      <c r="P79" s="202" t="str">
        <f>INPUT!U79</f>
        <v>0051</v>
      </c>
      <c r="Q79" s="37" t="str">
        <f>INPUT!W79</f>
        <v>ABS</v>
      </c>
      <c r="R79" s="37" t="str">
        <f>INPUT!Y79</f>
        <v>ABS</v>
      </c>
      <c r="S79" s="37" t="str">
        <f>INPUT!AA79</f>
        <v>ABS</v>
      </c>
      <c r="T79" s="38" t="str">
        <f>INPUT!Z79</f>
        <v>ABS</v>
      </c>
      <c r="U79" s="209">
        <f>INPUT!AB79</f>
        <v>0</v>
      </c>
      <c r="V79" s="37" t="str">
        <f>INPUT!AD79</f>
        <v>ABS</v>
      </c>
      <c r="W79" s="37" t="str">
        <f>INPUT!AF79</f>
        <v>ABS</v>
      </c>
      <c r="X79" s="37" t="str">
        <f>INPUT!AH79</f>
        <v>ABS</v>
      </c>
      <c r="Y79" s="46" t="str">
        <f>INPUT!AG79</f>
        <v>ABS</v>
      </c>
      <c r="Z79" s="209">
        <f>INPUT!AI79</f>
        <v>0</v>
      </c>
      <c r="AA79" s="37" t="str">
        <f>INPUT!AK79</f>
        <v>ABS</v>
      </c>
      <c r="AB79" s="37" t="str">
        <f>INPUT!AM79</f>
        <v>ABS</v>
      </c>
      <c r="AC79" s="37" t="str">
        <f>INPUT!AO79</f>
        <v>ABS</v>
      </c>
      <c r="AD79" s="46" t="str">
        <f>INPUT!AN79</f>
        <v>ABS</v>
      </c>
      <c r="AE79" s="204">
        <f>INPUT!AP79</f>
        <v>0</v>
      </c>
      <c r="AF79" s="37" t="str">
        <f>INPUT!AR79</f>
        <v>ABS</v>
      </c>
      <c r="AG79" s="37" t="str">
        <f>INPUT!AT79</f>
        <v>ABS</v>
      </c>
      <c r="AH79" s="37" t="str">
        <f>INPUT!AV79</f>
        <v>ABS</v>
      </c>
      <c r="AI79" s="38" t="str">
        <f>INPUT!AU79</f>
        <v>ABS</v>
      </c>
      <c r="AJ79" s="40" t="str">
        <f t="shared" si="4"/>
        <v>-</v>
      </c>
      <c r="AK79" s="211">
        <f>INPUT!AX79</f>
        <v>0</v>
      </c>
      <c r="AL79" s="37" t="str">
        <f>INPUT!AZ79</f>
        <v>ABS</v>
      </c>
      <c r="AM79" s="37" t="str">
        <f>INPUT!BB79</f>
        <v>ABS</v>
      </c>
      <c r="AN79" s="37" t="str">
        <f>INPUT!BD79</f>
        <v>ABS</v>
      </c>
      <c r="AO79" s="212" t="str">
        <f>INPUT!BC79</f>
        <v>ABS</v>
      </c>
      <c r="AP79" s="41" t="str">
        <f t="shared" si="5"/>
        <v/>
      </c>
      <c r="AQ79" s="41" t="str">
        <f t="shared" si="6"/>
        <v>ABS</v>
      </c>
      <c r="AR79" s="41" t="str">
        <f t="shared" si="7"/>
        <v/>
      </c>
      <c r="AS79" s="30"/>
      <c r="AT79" s="30"/>
      <c r="AU79" s="30"/>
      <c r="AV79" s="30"/>
      <c r="AX79" s="114" t="str">
        <f>AJ79&amp;"_"&amp;COUNTIF($AJ$5:AJ79,AJ79)</f>
        <v>-_69</v>
      </c>
    </row>
    <row r="80" spans="1:50">
      <c r="A80" s="112"/>
      <c r="B80" s="44">
        <f>INPUT!F80</f>
        <v>0</v>
      </c>
      <c r="C80" s="50">
        <f>INPUT!C80</f>
        <v>0</v>
      </c>
      <c r="D80" s="130">
        <f>INPUT!D80</f>
        <v>0</v>
      </c>
      <c r="E80" s="51">
        <f>INPUT!E80</f>
        <v>0</v>
      </c>
      <c r="F80" s="39" t="str">
        <f>INPUT!G80</f>
        <v>0011</v>
      </c>
      <c r="G80" s="37" t="str">
        <f>INPUT!I80</f>
        <v>ABS</v>
      </c>
      <c r="H80" s="37" t="str">
        <f>INPUT!K80</f>
        <v>ABS</v>
      </c>
      <c r="I80" s="37" t="str">
        <f>INPUT!M80</f>
        <v>ABS</v>
      </c>
      <c r="J80" s="38" t="str">
        <f>INPUT!L80</f>
        <v>ABS</v>
      </c>
      <c r="K80" s="205" t="str">
        <f>INPUT!N80</f>
        <v>0031</v>
      </c>
      <c r="L80" s="37" t="str">
        <f>INPUT!P80</f>
        <v>ABS</v>
      </c>
      <c r="M80" s="37" t="str">
        <f>INPUT!R80</f>
        <v>ABS</v>
      </c>
      <c r="N80" s="37" t="str">
        <f>INPUT!T80</f>
        <v>ABS</v>
      </c>
      <c r="O80" s="46" t="str">
        <f>INPUT!S80</f>
        <v>ABS</v>
      </c>
      <c r="P80" s="202" t="str">
        <f>INPUT!U80</f>
        <v>0051</v>
      </c>
      <c r="Q80" s="37" t="str">
        <f>INPUT!W80</f>
        <v>ABS</v>
      </c>
      <c r="R80" s="37" t="str">
        <f>INPUT!Y80</f>
        <v>ABS</v>
      </c>
      <c r="S80" s="37" t="str">
        <f>INPUT!AA80</f>
        <v>ABS</v>
      </c>
      <c r="T80" s="38" t="str">
        <f>INPUT!Z80</f>
        <v>ABS</v>
      </c>
      <c r="U80" s="209">
        <f>INPUT!AB80</f>
        <v>0</v>
      </c>
      <c r="V80" s="37" t="str">
        <f>INPUT!AD80</f>
        <v>ABS</v>
      </c>
      <c r="W80" s="37" t="str">
        <f>INPUT!AF80</f>
        <v>ABS</v>
      </c>
      <c r="X80" s="37" t="str">
        <f>INPUT!AH80</f>
        <v>ABS</v>
      </c>
      <c r="Y80" s="46" t="str">
        <f>INPUT!AG80</f>
        <v>ABS</v>
      </c>
      <c r="Z80" s="209">
        <f>INPUT!AI80</f>
        <v>0</v>
      </c>
      <c r="AA80" s="37" t="str">
        <f>INPUT!AK80</f>
        <v>ABS</v>
      </c>
      <c r="AB80" s="37" t="str">
        <f>INPUT!AM80</f>
        <v>ABS</v>
      </c>
      <c r="AC80" s="37" t="str">
        <f>INPUT!AO80</f>
        <v>ABS</v>
      </c>
      <c r="AD80" s="46" t="str">
        <f>INPUT!AN80</f>
        <v>ABS</v>
      </c>
      <c r="AE80" s="204">
        <f>INPUT!AP80</f>
        <v>0</v>
      </c>
      <c r="AF80" s="37" t="str">
        <f>INPUT!AR80</f>
        <v>ABS</v>
      </c>
      <c r="AG80" s="37" t="str">
        <f>INPUT!AT80</f>
        <v>ABS</v>
      </c>
      <c r="AH80" s="37" t="str">
        <f>INPUT!AV80</f>
        <v>ABS</v>
      </c>
      <c r="AI80" s="38" t="str">
        <f>INPUT!AU80</f>
        <v>ABS</v>
      </c>
      <c r="AJ80" s="40" t="str">
        <f t="shared" si="4"/>
        <v>-</v>
      </c>
      <c r="AK80" s="211">
        <f>INPUT!AX80</f>
        <v>0</v>
      </c>
      <c r="AL80" s="37" t="str">
        <f>INPUT!AZ80</f>
        <v>ABS</v>
      </c>
      <c r="AM80" s="37" t="str">
        <f>INPUT!BB80</f>
        <v>ABS</v>
      </c>
      <c r="AN80" s="37" t="str">
        <f>INPUT!BD80</f>
        <v>ABS</v>
      </c>
      <c r="AO80" s="212" t="str">
        <f>INPUT!BC80</f>
        <v>ABS</v>
      </c>
      <c r="AP80" s="41" t="str">
        <f t="shared" si="5"/>
        <v/>
      </c>
      <c r="AQ80" s="41" t="str">
        <f t="shared" si="6"/>
        <v>ABS</v>
      </c>
      <c r="AR80" s="41" t="str">
        <f t="shared" si="7"/>
        <v/>
      </c>
      <c r="AS80" s="30"/>
      <c r="AT80" s="30"/>
      <c r="AU80" s="30"/>
      <c r="AV80" s="30"/>
      <c r="AX80" s="114" t="str">
        <f>AJ80&amp;"_"&amp;COUNTIF($AJ$5:AJ80,AJ80)</f>
        <v>-_70</v>
      </c>
    </row>
    <row r="81" spans="1:50">
      <c r="A81" s="112"/>
      <c r="B81" s="44">
        <f>INPUT!F81</f>
        <v>0</v>
      </c>
      <c r="C81" s="50">
        <f>INPUT!C81</f>
        <v>0</v>
      </c>
      <c r="D81" s="130">
        <f>INPUT!D81</f>
        <v>0</v>
      </c>
      <c r="E81" s="51">
        <f>INPUT!E81</f>
        <v>0</v>
      </c>
      <c r="F81" s="39" t="str">
        <f>INPUT!G81</f>
        <v>0011</v>
      </c>
      <c r="G81" s="37" t="str">
        <f>INPUT!I81</f>
        <v>ABS</v>
      </c>
      <c r="H81" s="37" t="str">
        <f>INPUT!K81</f>
        <v>ABS</v>
      </c>
      <c r="I81" s="37" t="str">
        <f>INPUT!M81</f>
        <v>ABS</v>
      </c>
      <c r="J81" s="38" t="str">
        <f>INPUT!L81</f>
        <v>ABS</v>
      </c>
      <c r="K81" s="205" t="str">
        <f>INPUT!N81</f>
        <v>0031</v>
      </c>
      <c r="L81" s="37" t="str">
        <f>INPUT!P81</f>
        <v>ABS</v>
      </c>
      <c r="M81" s="37" t="str">
        <f>INPUT!R81</f>
        <v>ABS</v>
      </c>
      <c r="N81" s="37" t="str">
        <f>INPUT!T81</f>
        <v>ABS</v>
      </c>
      <c r="O81" s="46" t="str">
        <f>INPUT!S81</f>
        <v>ABS</v>
      </c>
      <c r="P81" s="202" t="str">
        <f>INPUT!U81</f>
        <v>0051</v>
      </c>
      <c r="Q81" s="37" t="str">
        <f>INPUT!W81</f>
        <v>ABS</v>
      </c>
      <c r="R81" s="37" t="str">
        <f>INPUT!Y81</f>
        <v>ABS</v>
      </c>
      <c r="S81" s="37" t="str">
        <f>INPUT!AA81</f>
        <v>ABS</v>
      </c>
      <c r="T81" s="38" t="str">
        <f>INPUT!Z81</f>
        <v>ABS</v>
      </c>
      <c r="U81" s="209">
        <f>INPUT!AB81</f>
        <v>0</v>
      </c>
      <c r="V81" s="37" t="str">
        <f>INPUT!AD81</f>
        <v>ABS</v>
      </c>
      <c r="W81" s="37" t="str">
        <f>INPUT!AF81</f>
        <v>ABS</v>
      </c>
      <c r="X81" s="37" t="str">
        <f>INPUT!AH81</f>
        <v>ABS</v>
      </c>
      <c r="Y81" s="46" t="str">
        <f>INPUT!AG81</f>
        <v>ABS</v>
      </c>
      <c r="Z81" s="209">
        <f>INPUT!AI81</f>
        <v>0</v>
      </c>
      <c r="AA81" s="37" t="str">
        <f>INPUT!AK81</f>
        <v>ABS</v>
      </c>
      <c r="AB81" s="37" t="str">
        <f>INPUT!AM81</f>
        <v>ABS</v>
      </c>
      <c r="AC81" s="37" t="str">
        <f>INPUT!AO81</f>
        <v>ABS</v>
      </c>
      <c r="AD81" s="46" t="str">
        <f>INPUT!AN81</f>
        <v>ABS</v>
      </c>
      <c r="AE81" s="204">
        <f>INPUT!AP81</f>
        <v>0</v>
      </c>
      <c r="AF81" s="37" t="str">
        <f>INPUT!AR81</f>
        <v>ABS</v>
      </c>
      <c r="AG81" s="37" t="str">
        <f>INPUT!AT81</f>
        <v>ABS</v>
      </c>
      <c r="AH81" s="37" t="str">
        <f>INPUT!AV81</f>
        <v>ABS</v>
      </c>
      <c r="AI81" s="38" t="str">
        <f>INPUT!AU81</f>
        <v>ABS</v>
      </c>
      <c r="AJ81" s="40" t="str">
        <f t="shared" si="4"/>
        <v>-</v>
      </c>
      <c r="AK81" s="211">
        <f>INPUT!AX81</f>
        <v>0</v>
      </c>
      <c r="AL81" s="37" t="str">
        <f>INPUT!AZ81</f>
        <v>ABS</v>
      </c>
      <c r="AM81" s="37" t="str">
        <f>INPUT!BB81</f>
        <v>ABS</v>
      </c>
      <c r="AN81" s="37" t="str">
        <f>INPUT!BD81</f>
        <v>ABS</v>
      </c>
      <c r="AO81" s="212" t="str">
        <f>INPUT!BC81</f>
        <v>ABS</v>
      </c>
      <c r="AP81" s="41" t="str">
        <f t="shared" si="5"/>
        <v/>
      </c>
      <c r="AQ81" s="41" t="str">
        <f t="shared" si="6"/>
        <v>ABS</v>
      </c>
      <c r="AR81" s="41" t="str">
        <f t="shared" si="7"/>
        <v/>
      </c>
      <c r="AS81" s="30"/>
      <c r="AT81" s="30"/>
      <c r="AU81" s="30"/>
      <c r="AV81" s="30"/>
      <c r="AX81" s="114" t="str">
        <f>AJ81&amp;"_"&amp;COUNTIF($AJ$5:AJ81,AJ81)</f>
        <v>-_71</v>
      </c>
    </row>
    <row r="82" spans="1:50">
      <c r="A82" s="112"/>
      <c r="B82" s="44">
        <f>INPUT!F82</f>
        <v>0</v>
      </c>
      <c r="C82" s="50">
        <f>INPUT!C82</f>
        <v>0</v>
      </c>
      <c r="D82" s="130">
        <f>INPUT!D82</f>
        <v>0</v>
      </c>
      <c r="E82" s="51">
        <f>INPUT!E82</f>
        <v>0</v>
      </c>
      <c r="F82" s="39" t="str">
        <f>INPUT!G82</f>
        <v>0011</v>
      </c>
      <c r="G82" s="37" t="str">
        <f>INPUT!I82</f>
        <v>ABS</v>
      </c>
      <c r="H82" s="37" t="str">
        <f>INPUT!K82</f>
        <v>ABS</v>
      </c>
      <c r="I82" s="37" t="str">
        <f>INPUT!M82</f>
        <v>ABS</v>
      </c>
      <c r="J82" s="38" t="str">
        <f>INPUT!L82</f>
        <v>ABS</v>
      </c>
      <c r="K82" s="205" t="str">
        <f>INPUT!N82</f>
        <v>0031</v>
      </c>
      <c r="L82" s="37" t="str">
        <f>INPUT!P82</f>
        <v>ABS</v>
      </c>
      <c r="M82" s="37" t="str">
        <f>INPUT!R82</f>
        <v>ABS</v>
      </c>
      <c r="N82" s="37" t="str">
        <f>INPUT!T82</f>
        <v>ABS</v>
      </c>
      <c r="O82" s="46" t="str">
        <f>INPUT!S82</f>
        <v>ABS</v>
      </c>
      <c r="P82" s="202" t="str">
        <f>INPUT!U82</f>
        <v>0051</v>
      </c>
      <c r="Q82" s="37" t="str">
        <f>INPUT!W82</f>
        <v>ABS</v>
      </c>
      <c r="R82" s="37" t="str">
        <f>INPUT!Y82</f>
        <v>ABS</v>
      </c>
      <c r="S82" s="37" t="str">
        <f>INPUT!AA82</f>
        <v>ABS</v>
      </c>
      <c r="T82" s="38" t="str">
        <f>INPUT!Z82</f>
        <v>ABS</v>
      </c>
      <c r="U82" s="209">
        <f>INPUT!AB82</f>
        <v>0</v>
      </c>
      <c r="V82" s="37" t="str">
        <f>INPUT!AD82</f>
        <v>ABS</v>
      </c>
      <c r="W82" s="37" t="str">
        <f>INPUT!AF82</f>
        <v>ABS</v>
      </c>
      <c r="X82" s="37" t="str">
        <f>INPUT!AH82</f>
        <v>ABS</v>
      </c>
      <c r="Y82" s="46" t="str">
        <f>INPUT!AG82</f>
        <v>ABS</v>
      </c>
      <c r="Z82" s="209">
        <f>INPUT!AI82</f>
        <v>0</v>
      </c>
      <c r="AA82" s="37" t="str">
        <f>INPUT!AK82</f>
        <v>ABS</v>
      </c>
      <c r="AB82" s="37" t="str">
        <f>INPUT!AM82</f>
        <v>ABS</v>
      </c>
      <c r="AC82" s="37" t="str">
        <f>INPUT!AO82</f>
        <v>ABS</v>
      </c>
      <c r="AD82" s="46" t="str">
        <f>INPUT!AN82</f>
        <v>ABS</v>
      </c>
      <c r="AE82" s="204">
        <f>INPUT!AP82</f>
        <v>0</v>
      </c>
      <c r="AF82" s="37" t="str">
        <f>INPUT!AR82</f>
        <v>ABS</v>
      </c>
      <c r="AG82" s="37" t="str">
        <f>INPUT!AT82</f>
        <v>ABS</v>
      </c>
      <c r="AH82" s="37" t="str">
        <f>INPUT!AV82</f>
        <v>ABS</v>
      </c>
      <c r="AI82" s="38" t="str">
        <f>INPUT!AU82</f>
        <v>ABS</v>
      </c>
      <c r="AJ82" s="40" t="str">
        <f t="shared" si="4"/>
        <v>-</v>
      </c>
      <c r="AK82" s="211">
        <f>INPUT!AX82</f>
        <v>0</v>
      </c>
      <c r="AL82" s="37" t="str">
        <f>INPUT!AZ82</f>
        <v>ABS</v>
      </c>
      <c r="AM82" s="37" t="str">
        <f>INPUT!BB82</f>
        <v>ABS</v>
      </c>
      <c r="AN82" s="37" t="str">
        <f>INPUT!BD82</f>
        <v>ABS</v>
      </c>
      <c r="AO82" s="212" t="str">
        <f>INPUT!BC82</f>
        <v>ABS</v>
      </c>
      <c r="AP82" s="41" t="str">
        <f t="shared" si="5"/>
        <v/>
      </c>
      <c r="AQ82" s="41" t="str">
        <f t="shared" si="6"/>
        <v>ABS</v>
      </c>
      <c r="AR82" s="41" t="str">
        <f t="shared" si="7"/>
        <v/>
      </c>
      <c r="AS82" s="30"/>
      <c r="AT82" s="30"/>
      <c r="AU82" s="30"/>
      <c r="AV82" s="30"/>
      <c r="AX82" s="114" t="str">
        <f>AJ82&amp;"_"&amp;COUNTIF($AJ$5:AJ82,AJ82)</f>
        <v>-_72</v>
      </c>
    </row>
    <row r="83" spans="1:50">
      <c r="A83" s="112"/>
      <c r="B83" s="44">
        <f>INPUT!F83</f>
        <v>0</v>
      </c>
      <c r="C83" s="50">
        <f>INPUT!C83</f>
        <v>0</v>
      </c>
      <c r="D83" s="130">
        <f>INPUT!D83</f>
        <v>0</v>
      </c>
      <c r="E83" s="51">
        <f>INPUT!E83</f>
        <v>0</v>
      </c>
      <c r="F83" s="39" t="str">
        <f>INPUT!G83</f>
        <v>0011</v>
      </c>
      <c r="G83" s="37" t="str">
        <f>INPUT!I83</f>
        <v>ABS</v>
      </c>
      <c r="H83" s="37" t="str">
        <f>INPUT!K83</f>
        <v>ABS</v>
      </c>
      <c r="I83" s="37" t="str">
        <f>INPUT!M83</f>
        <v>ABS</v>
      </c>
      <c r="J83" s="38" t="str">
        <f>INPUT!L83</f>
        <v>ABS</v>
      </c>
      <c r="K83" s="205" t="str">
        <f>INPUT!N83</f>
        <v>0031</v>
      </c>
      <c r="L83" s="37" t="str">
        <f>INPUT!P83</f>
        <v>ABS</v>
      </c>
      <c r="M83" s="37" t="str">
        <f>INPUT!R83</f>
        <v>ABS</v>
      </c>
      <c r="N83" s="37" t="str">
        <f>INPUT!T83</f>
        <v>ABS</v>
      </c>
      <c r="O83" s="46" t="str">
        <f>INPUT!S83</f>
        <v>ABS</v>
      </c>
      <c r="P83" s="202" t="str">
        <f>INPUT!U83</f>
        <v>0051</v>
      </c>
      <c r="Q83" s="37" t="str">
        <f>INPUT!W83</f>
        <v>ABS</v>
      </c>
      <c r="R83" s="37" t="str">
        <f>INPUT!Y83</f>
        <v>ABS</v>
      </c>
      <c r="S83" s="37" t="str">
        <f>INPUT!AA83</f>
        <v>ABS</v>
      </c>
      <c r="T83" s="38" t="str">
        <f>INPUT!Z83</f>
        <v>ABS</v>
      </c>
      <c r="U83" s="209">
        <f>INPUT!AB83</f>
        <v>0</v>
      </c>
      <c r="V83" s="37" t="str">
        <f>INPUT!AD83</f>
        <v>ABS</v>
      </c>
      <c r="W83" s="37" t="str">
        <f>INPUT!AF83</f>
        <v>ABS</v>
      </c>
      <c r="X83" s="37" t="str">
        <f>INPUT!AH83</f>
        <v>ABS</v>
      </c>
      <c r="Y83" s="46" t="str">
        <f>INPUT!AG83</f>
        <v>ABS</v>
      </c>
      <c r="Z83" s="209">
        <f>INPUT!AI83</f>
        <v>0</v>
      </c>
      <c r="AA83" s="37" t="str">
        <f>INPUT!AK83</f>
        <v>ABS</v>
      </c>
      <c r="AB83" s="37" t="str">
        <f>INPUT!AM83</f>
        <v>ABS</v>
      </c>
      <c r="AC83" s="37" t="str">
        <f>INPUT!AO83</f>
        <v>ABS</v>
      </c>
      <c r="AD83" s="46" t="str">
        <f>INPUT!AN83</f>
        <v>ABS</v>
      </c>
      <c r="AE83" s="204">
        <f>INPUT!AP83</f>
        <v>0</v>
      </c>
      <c r="AF83" s="37" t="str">
        <f>INPUT!AR83</f>
        <v>ABS</v>
      </c>
      <c r="AG83" s="37" t="str">
        <f>INPUT!AT83</f>
        <v>ABS</v>
      </c>
      <c r="AH83" s="37" t="str">
        <f>INPUT!AV83</f>
        <v>ABS</v>
      </c>
      <c r="AI83" s="38" t="str">
        <f>INPUT!AU83</f>
        <v>ABS</v>
      </c>
      <c r="AJ83" s="40" t="str">
        <f t="shared" si="4"/>
        <v>-</v>
      </c>
      <c r="AK83" s="211">
        <f>INPUT!AX83</f>
        <v>0</v>
      </c>
      <c r="AL83" s="37" t="str">
        <f>INPUT!AZ83</f>
        <v>ABS</v>
      </c>
      <c r="AM83" s="37" t="str">
        <f>INPUT!BB83</f>
        <v>ABS</v>
      </c>
      <c r="AN83" s="37" t="str">
        <f>INPUT!BD83</f>
        <v>ABS</v>
      </c>
      <c r="AO83" s="212" t="str">
        <f>INPUT!BC83</f>
        <v>ABS</v>
      </c>
      <c r="AP83" s="41" t="str">
        <f t="shared" si="5"/>
        <v/>
      </c>
      <c r="AQ83" s="41" t="str">
        <f t="shared" si="6"/>
        <v>ABS</v>
      </c>
      <c r="AR83" s="41" t="str">
        <f t="shared" si="7"/>
        <v/>
      </c>
      <c r="AS83" s="30"/>
      <c r="AT83" s="30"/>
      <c r="AU83" s="30"/>
      <c r="AV83" s="30"/>
      <c r="AX83" s="114" t="str">
        <f>AJ83&amp;"_"&amp;COUNTIF($AJ$5:AJ83,AJ83)</f>
        <v>-_73</v>
      </c>
    </row>
    <row r="84" spans="1:50">
      <c r="A84" s="112"/>
      <c r="B84" s="44">
        <f>INPUT!F84</f>
        <v>0</v>
      </c>
      <c r="C84" s="50">
        <f>INPUT!C84</f>
        <v>0</v>
      </c>
      <c r="D84" s="130">
        <f>INPUT!D84</f>
        <v>0</v>
      </c>
      <c r="E84" s="51">
        <f>INPUT!E84</f>
        <v>0</v>
      </c>
      <c r="F84" s="39" t="str">
        <f>INPUT!G84</f>
        <v>0011</v>
      </c>
      <c r="G84" s="37" t="str">
        <f>INPUT!I84</f>
        <v>ABS</v>
      </c>
      <c r="H84" s="37" t="str">
        <f>INPUT!K84</f>
        <v>ABS</v>
      </c>
      <c r="I84" s="37" t="str">
        <f>INPUT!M84</f>
        <v>ABS</v>
      </c>
      <c r="J84" s="38" t="str">
        <f>INPUT!L84</f>
        <v>ABS</v>
      </c>
      <c r="K84" s="205" t="str">
        <f>INPUT!N84</f>
        <v>0031</v>
      </c>
      <c r="L84" s="37" t="str">
        <f>INPUT!P84</f>
        <v>ABS</v>
      </c>
      <c r="M84" s="37" t="str">
        <f>INPUT!R84</f>
        <v>ABS</v>
      </c>
      <c r="N84" s="37" t="str">
        <f>INPUT!T84</f>
        <v>ABS</v>
      </c>
      <c r="O84" s="46" t="str">
        <f>INPUT!S84</f>
        <v>ABS</v>
      </c>
      <c r="P84" s="202" t="str">
        <f>INPUT!U84</f>
        <v>0051</v>
      </c>
      <c r="Q84" s="37" t="str">
        <f>INPUT!W84</f>
        <v>ABS</v>
      </c>
      <c r="R84" s="37" t="str">
        <f>INPUT!Y84</f>
        <v>ABS</v>
      </c>
      <c r="S84" s="37" t="str">
        <f>INPUT!AA84</f>
        <v>ABS</v>
      </c>
      <c r="T84" s="38" t="str">
        <f>INPUT!Z84</f>
        <v>ABS</v>
      </c>
      <c r="U84" s="209">
        <f>INPUT!AB84</f>
        <v>0</v>
      </c>
      <c r="V84" s="37" t="str">
        <f>INPUT!AD84</f>
        <v>ABS</v>
      </c>
      <c r="W84" s="37" t="str">
        <f>INPUT!AF84</f>
        <v>ABS</v>
      </c>
      <c r="X84" s="37" t="str">
        <f>INPUT!AH84</f>
        <v>ABS</v>
      </c>
      <c r="Y84" s="46" t="str">
        <f>INPUT!AG84</f>
        <v>ABS</v>
      </c>
      <c r="Z84" s="209">
        <f>INPUT!AI84</f>
        <v>0</v>
      </c>
      <c r="AA84" s="37" t="str">
        <f>INPUT!AK84</f>
        <v>ABS</v>
      </c>
      <c r="AB84" s="37" t="str">
        <f>INPUT!AM84</f>
        <v>ABS</v>
      </c>
      <c r="AC84" s="37" t="str">
        <f>INPUT!AO84</f>
        <v>ABS</v>
      </c>
      <c r="AD84" s="46" t="str">
        <f>INPUT!AN84</f>
        <v>ABS</v>
      </c>
      <c r="AE84" s="204">
        <f>INPUT!AP84</f>
        <v>0</v>
      </c>
      <c r="AF84" s="37" t="str">
        <f>INPUT!AR84</f>
        <v>ABS</v>
      </c>
      <c r="AG84" s="37" t="str">
        <f>INPUT!AT84</f>
        <v>ABS</v>
      </c>
      <c r="AH84" s="37" t="str">
        <f>INPUT!AV84</f>
        <v>ABS</v>
      </c>
      <c r="AI84" s="38" t="str">
        <f>INPUT!AU84</f>
        <v>ABS</v>
      </c>
      <c r="AJ84" s="40" t="str">
        <f t="shared" si="4"/>
        <v>-</v>
      </c>
      <c r="AK84" s="211">
        <f>INPUT!AX84</f>
        <v>0</v>
      </c>
      <c r="AL84" s="37" t="str">
        <f>INPUT!AZ84</f>
        <v>ABS</v>
      </c>
      <c r="AM84" s="37" t="str">
        <f>INPUT!BB84</f>
        <v>ABS</v>
      </c>
      <c r="AN84" s="37" t="str">
        <f>INPUT!BD84</f>
        <v>ABS</v>
      </c>
      <c r="AO84" s="212" t="str">
        <f>INPUT!BC84</f>
        <v>ABS</v>
      </c>
      <c r="AP84" s="41" t="str">
        <f t="shared" si="5"/>
        <v/>
      </c>
      <c r="AQ84" s="41" t="str">
        <f t="shared" si="6"/>
        <v>ABS</v>
      </c>
      <c r="AR84" s="41" t="str">
        <f t="shared" si="7"/>
        <v/>
      </c>
      <c r="AS84" s="30"/>
      <c r="AT84" s="30"/>
      <c r="AU84" s="30"/>
      <c r="AV84" s="30"/>
      <c r="AX84" s="114" t="str">
        <f>AJ84&amp;"_"&amp;COUNTIF($AJ$5:AJ84,AJ84)</f>
        <v>-_74</v>
      </c>
    </row>
    <row r="85" spans="1:50">
      <c r="A85" s="112"/>
      <c r="B85" s="44">
        <f>INPUT!F85</f>
        <v>0</v>
      </c>
      <c r="C85" s="50">
        <f>INPUT!C85</f>
        <v>0</v>
      </c>
      <c r="D85" s="130">
        <f>INPUT!D85</f>
        <v>0</v>
      </c>
      <c r="E85" s="51">
        <f>INPUT!E85</f>
        <v>0</v>
      </c>
      <c r="F85" s="39" t="str">
        <f>INPUT!G85</f>
        <v>0011</v>
      </c>
      <c r="G85" s="37" t="str">
        <f>INPUT!I85</f>
        <v>ABS</v>
      </c>
      <c r="H85" s="37" t="str">
        <f>INPUT!K85</f>
        <v>ABS</v>
      </c>
      <c r="I85" s="37" t="str">
        <f>INPUT!M85</f>
        <v>ABS</v>
      </c>
      <c r="J85" s="38" t="str">
        <f>INPUT!L85</f>
        <v>ABS</v>
      </c>
      <c r="K85" s="205" t="str">
        <f>INPUT!N85</f>
        <v>0031</v>
      </c>
      <c r="L85" s="37" t="str">
        <f>INPUT!P85</f>
        <v>ABS</v>
      </c>
      <c r="M85" s="37" t="str">
        <f>INPUT!R85</f>
        <v>ABS</v>
      </c>
      <c r="N85" s="37" t="str">
        <f>INPUT!T85</f>
        <v>ABS</v>
      </c>
      <c r="O85" s="46" t="str">
        <f>INPUT!S85</f>
        <v>ABS</v>
      </c>
      <c r="P85" s="202" t="str">
        <f>INPUT!U85</f>
        <v>0051</v>
      </c>
      <c r="Q85" s="37" t="str">
        <f>INPUT!W85</f>
        <v>ABS</v>
      </c>
      <c r="R85" s="37" t="str">
        <f>INPUT!Y85</f>
        <v>ABS</v>
      </c>
      <c r="S85" s="37" t="str">
        <f>INPUT!AA85</f>
        <v>ABS</v>
      </c>
      <c r="T85" s="38" t="str">
        <f>INPUT!Z85</f>
        <v>ABS</v>
      </c>
      <c r="U85" s="209">
        <f>INPUT!AB85</f>
        <v>0</v>
      </c>
      <c r="V85" s="37" t="str">
        <f>INPUT!AD85</f>
        <v>ABS</v>
      </c>
      <c r="W85" s="37" t="str">
        <f>INPUT!AF85</f>
        <v>ABS</v>
      </c>
      <c r="X85" s="37" t="str">
        <f>INPUT!AH85</f>
        <v>ABS</v>
      </c>
      <c r="Y85" s="46" t="str">
        <f>INPUT!AG85</f>
        <v>ABS</v>
      </c>
      <c r="Z85" s="209">
        <f>INPUT!AI85</f>
        <v>0</v>
      </c>
      <c r="AA85" s="37" t="str">
        <f>INPUT!AK85</f>
        <v>ABS</v>
      </c>
      <c r="AB85" s="37" t="str">
        <f>INPUT!AM85</f>
        <v>ABS</v>
      </c>
      <c r="AC85" s="37" t="str">
        <f>INPUT!AO85</f>
        <v>ABS</v>
      </c>
      <c r="AD85" s="46" t="str">
        <f>INPUT!AN85</f>
        <v>ABS</v>
      </c>
      <c r="AE85" s="204">
        <f>INPUT!AP85</f>
        <v>0</v>
      </c>
      <c r="AF85" s="37" t="str">
        <f>INPUT!AR85</f>
        <v>ABS</v>
      </c>
      <c r="AG85" s="37" t="str">
        <f>INPUT!AT85</f>
        <v>ABS</v>
      </c>
      <c r="AH85" s="37" t="str">
        <f>INPUT!AV85</f>
        <v>ABS</v>
      </c>
      <c r="AI85" s="38" t="str">
        <f>INPUT!AU85</f>
        <v>ABS</v>
      </c>
      <c r="AJ85" s="40" t="str">
        <f t="shared" si="4"/>
        <v>-</v>
      </c>
      <c r="AK85" s="211">
        <f>INPUT!AX85</f>
        <v>0</v>
      </c>
      <c r="AL85" s="37" t="str">
        <f>INPUT!AZ85</f>
        <v>ABS</v>
      </c>
      <c r="AM85" s="37" t="str">
        <f>INPUT!BB85</f>
        <v>ABS</v>
      </c>
      <c r="AN85" s="37" t="str">
        <f>INPUT!BD85</f>
        <v>ABS</v>
      </c>
      <c r="AO85" s="212" t="str">
        <f>INPUT!BC85</f>
        <v>ABS</v>
      </c>
      <c r="AP85" s="41" t="str">
        <f t="shared" si="5"/>
        <v/>
      </c>
      <c r="AQ85" s="41" t="str">
        <f t="shared" si="6"/>
        <v>ABS</v>
      </c>
      <c r="AR85" s="41" t="str">
        <f t="shared" si="7"/>
        <v/>
      </c>
      <c r="AS85" s="30"/>
      <c r="AT85" s="30"/>
      <c r="AU85" s="30"/>
      <c r="AV85" s="30"/>
      <c r="AX85" s="114" t="str">
        <f>AJ85&amp;"_"&amp;COUNTIF($AJ$5:AJ85,AJ85)</f>
        <v>-_75</v>
      </c>
    </row>
    <row r="86" spans="1:50">
      <c r="A86" s="112"/>
      <c r="B86" s="44">
        <f>INPUT!F86</f>
        <v>0</v>
      </c>
      <c r="C86" s="50">
        <f>INPUT!C86</f>
        <v>0</v>
      </c>
      <c r="D86" s="130">
        <f>INPUT!D86</f>
        <v>0</v>
      </c>
      <c r="E86" s="51">
        <f>INPUT!E86</f>
        <v>0</v>
      </c>
      <c r="F86" s="39" t="str">
        <f>INPUT!G86</f>
        <v>0011</v>
      </c>
      <c r="G86" s="37" t="str">
        <f>INPUT!I86</f>
        <v>ABS</v>
      </c>
      <c r="H86" s="37" t="str">
        <f>INPUT!K86</f>
        <v>ABS</v>
      </c>
      <c r="I86" s="37" t="str">
        <f>INPUT!M86</f>
        <v>ABS</v>
      </c>
      <c r="J86" s="38" t="str">
        <f>INPUT!L86</f>
        <v>ABS</v>
      </c>
      <c r="K86" s="205" t="str">
        <f>INPUT!N86</f>
        <v>0031</v>
      </c>
      <c r="L86" s="37" t="str">
        <f>INPUT!P86</f>
        <v>ABS</v>
      </c>
      <c r="M86" s="37" t="str">
        <f>INPUT!R86</f>
        <v>ABS</v>
      </c>
      <c r="N86" s="37" t="str">
        <f>INPUT!T86</f>
        <v>ABS</v>
      </c>
      <c r="O86" s="46" t="str">
        <f>INPUT!S86</f>
        <v>ABS</v>
      </c>
      <c r="P86" s="202" t="str">
        <f>INPUT!U86</f>
        <v>0051</v>
      </c>
      <c r="Q86" s="37" t="str">
        <f>INPUT!W86</f>
        <v>ABS</v>
      </c>
      <c r="R86" s="37" t="str">
        <f>INPUT!Y86</f>
        <v>ABS</v>
      </c>
      <c r="S86" s="37" t="str">
        <f>INPUT!AA86</f>
        <v>ABS</v>
      </c>
      <c r="T86" s="38" t="str">
        <f>INPUT!Z86</f>
        <v>ABS</v>
      </c>
      <c r="U86" s="209">
        <f>INPUT!AB86</f>
        <v>0</v>
      </c>
      <c r="V86" s="37" t="str">
        <f>INPUT!AD86</f>
        <v>ABS</v>
      </c>
      <c r="W86" s="37" t="str">
        <f>INPUT!AF86</f>
        <v>ABS</v>
      </c>
      <c r="X86" s="37" t="str">
        <f>INPUT!AH86</f>
        <v>ABS</v>
      </c>
      <c r="Y86" s="46" t="str">
        <f>INPUT!AG86</f>
        <v>ABS</v>
      </c>
      <c r="Z86" s="209">
        <f>INPUT!AI86</f>
        <v>0</v>
      </c>
      <c r="AA86" s="37" t="str">
        <f>INPUT!AK86</f>
        <v>ABS</v>
      </c>
      <c r="AB86" s="37" t="str">
        <f>INPUT!AM86</f>
        <v>ABS</v>
      </c>
      <c r="AC86" s="37" t="str">
        <f>INPUT!AO86</f>
        <v>ABS</v>
      </c>
      <c r="AD86" s="46" t="str">
        <f>INPUT!AN86</f>
        <v>ABS</v>
      </c>
      <c r="AE86" s="204">
        <f>INPUT!AP86</f>
        <v>0</v>
      </c>
      <c r="AF86" s="37" t="str">
        <f>INPUT!AR86</f>
        <v>ABS</v>
      </c>
      <c r="AG86" s="37" t="str">
        <f>INPUT!AT86</f>
        <v>ABS</v>
      </c>
      <c r="AH86" s="37" t="str">
        <f>INPUT!AV86</f>
        <v>ABS</v>
      </c>
      <c r="AI86" s="38" t="str">
        <f>INPUT!AU86</f>
        <v>ABS</v>
      </c>
      <c r="AJ86" s="40" t="str">
        <f t="shared" si="4"/>
        <v>-</v>
      </c>
      <c r="AK86" s="211">
        <f>INPUT!AX86</f>
        <v>0</v>
      </c>
      <c r="AL86" s="37" t="str">
        <f>INPUT!AZ86</f>
        <v>ABS</v>
      </c>
      <c r="AM86" s="37" t="str">
        <f>INPUT!BB86</f>
        <v>ABS</v>
      </c>
      <c r="AN86" s="37" t="str">
        <f>INPUT!BD86</f>
        <v>ABS</v>
      </c>
      <c r="AO86" s="212" t="str">
        <f>INPUT!BC86</f>
        <v>ABS</v>
      </c>
      <c r="AP86" s="41" t="str">
        <f t="shared" si="5"/>
        <v/>
      </c>
      <c r="AQ86" s="41" t="str">
        <f t="shared" si="6"/>
        <v>ABS</v>
      </c>
      <c r="AR86" s="41" t="str">
        <f t="shared" si="7"/>
        <v/>
      </c>
      <c r="AS86" s="30"/>
      <c r="AT86" s="30"/>
      <c r="AU86" s="30"/>
      <c r="AV86" s="30"/>
      <c r="AX86" s="114" t="str">
        <f>AJ86&amp;"_"&amp;COUNTIF($AJ$5:AJ86,AJ86)</f>
        <v>-_76</v>
      </c>
    </row>
    <row r="87" spans="1:50">
      <c r="A87" s="112"/>
      <c r="B87" s="44">
        <f>INPUT!F87</f>
        <v>0</v>
      </c>
      <c r="C87" s="50">
        <f>INPUT!C87</f>
        <v>0</v>
      </c>
      <c r="D87" s="130">
        <f>INPUT!D87</f>
        <v>0</v>
      </c>
      <c r="E87" s="51">
        <f>INPUT!E87</f>
        <v>0</v>
      </c>
      <c r="F87" s="39" t="str">
        <f>INPUT!G87</f>
        <v>0011</v>
      </c>
      <c r="G87" s="37" t="str">
        <f>INPUT!I87</f>
        <v>ABS</v>
      </c>
      <c r="H87" s="37" t="str">
        <f>INPUT!K87</f>
        <v>ABS</v>
      </c>
      <c r="I87" s="37" t="str">
        <f>INPUT!M87</f>
        <v>ABS</v>
      </c>
      <c r="J87" s="38" t="str">
        <f>INPUT!L87</f>
        <v>ABS</v>
      </c>
      <c r="K87" s="205" t="str">
        <f>INPUT!N87</f>
        <v>0031</v>
      </c>
      <c r="L87" s="37" t="str">
        <f>INPUT!P87</f>
        <v>ABS</v>
      </c>
      <c r="M87" s="37" t="str">
        <f>INPUT!R87</f>
        <v>ABS</v>
      </c>
      <c r="N87" s="37" t="str">
        <f>INPUT!T87</f>
        <v>ABS</v>
      </c>
      <c r="O87" s="46" t="str">
        <f>INPUT!S87</f>
        <v>ABS</v>
      </c>
      <c r="P87" s="202" t="str">
        <f>INPUT!U87</f>
        <v>0051</v>
      </c>
      <c r="Q87" s="37" t="str">
        <f>INPUT!W87</f>
        <v>ABS</v>
      </c>
      <c r="R87" s="37" t="str">
        <f>INPUT!Y87</f>
        <v>ABS</v>
      </c>
      <c r="S87" s="37" t="str">
        <f>INPUT!AA87</f>
        <v>ABS</v>
      </c>
      <c r="T87" s="38" t="str">
        <f>INPUT!Z87</f>
        <v>ABS</v>
      </c>
      <c r="U87" s="209">
        <f>INPUT!AB87</f>
        <v>0</v>
      </c>
      <c r="V87" s="37" t="str">
        <f>INPUT!AD87</f>
        <v>ABS</v>
      </c>
      <c r="W87" s="37" t="str">
        <f>INPUT!AF87</f>
        <v>ABS</v>
      </c>
      <c r="X87" s="37" t="str">
        <f>INPUT!AH87</f>
        <v>ABS</v>
      </c>
      <c r="Y87" s="46" t="str">
        <f>INPUT!AG87</f>
        <v>ABS</v>
      </c>
      <c r="Z87" s="209">
        <f>INPUT!AI87</f>
        <v>0</v>
      </c>
      <c r="AA87" s="37" t="str">
        <f>INPUT!AK87</f>
        <v>ABS</v>
      </c>
      <c r="AB87" s="37" t="str">
        <f>INPUT!AM87</f>
        <v>ABS</v>
      </c>
      <c r="AC87" s="37" t="str">
        <f>INPUT!AO87</f>
        <v>ABS</v>
      </c>
      <c r="AD87" s="46" t="str">
        <f>INPUT!AN87</f>
        <v>ABS</v>
      </c>
      <c r="AE87" s="204">
        <f>INPUT!AP87</f>
        <v>0</v>
      </c>
      <c r="AF87" s="37" t="str">
        <f>INPUT!AR87</f>
        <v>ABS</v>
      </c>
      <c r="AG87" s="37" t="str">
        <f>INPUT!AT87</f>
        <v>ABS</v>
      </c>
      <c r="AH87" s="37" t="str">
        <f>INPUT!AV87</f>
        <v>ABS</v>
      </c>
      <c r="AI87" s="38" t="str">
        <f>INPUT!AU87</f>
        <v>ABS</v>
      </c>
      <c r="AJ87" s="40" t="str">
        <f t="shared" si="4"/>
        <v>-</v>
      </c>
      <c r="AK87" s="211">
        <f>INPUT!AX87</f>
        <v>0</v>
      </c>
      <c r="AL87" s="37" t="str">
        <f>INPUT!AZ87</f>
        <v>ABS</v>
      </c>
      <c r="AM87" s="37" t="str">
        <f>INPUT!BB87</f>
        <v>ABS</v>
      </c>
      <c r="AN87" s="37" t="str">
        <f>INPUT!BD87</f>
        <v>ABS</v>
      </c>
      <c r="AO87" s="212" t="str">
        <f>INPUT!BC87</f>
        <v>ABS</v>
      </c>
      <c r="AP87" s="41" t="str">
        <f t="shared" si="5"/>
        <v/>
      </c>
      <c r="AQ87" s="41" t="str">
        <f t="shared" si="6"/>
        <v>ABS</v>
      </c>
      <c r="AR87" s="41" t="str">
        <f t="shared" si="7"/>
        <v/>
      </c>
      <c r="AS87" s="30"/>
      <c r="AT87" s="30"/>
      <c r="AU87" s="30"/>
      <c r="AV87" s="30"/>
      <c r="AX87" s="114" t="str">
        <f>AJ87&amp;"_"&amp;COUNTIF($AJ$5:AJ87,AJ87)</f>
        <v>-_77</v>
      </c>
    </row>
    <row r="88" spans="1:50">
      <c r="A88" s="112"/>
      <c r="B88" s="44">
        <f>INPUT!F88</f>
        <v>0</v>
      </c>
      <c r="C88" s="50">
        <f>INPUT!C88</f>
        <v>0</v>
      </c>
      <c r="D88" s="130">
        <f>INPUT!D88</f>
        <v>0</v>
      </c>
      <c r="E88" s="51">
        <f>INPUT!E88</f>
        <v>0</v>
      </c>
      <c r="F88" s="39" t="str">
        <f>INPUT!G88</f>
        <v>0011</v>
      </c>
      <c r="G88" s="37" t="str">
        <f>INPUT!I88</f>
        <v>ABS</v>
      </c>
      <c r="H88" s="37" t="str">
        <f>INPUT!K88</f>
        <v>ABS</v>
      </c>
      <c r="I88" s="37" t="str">
        <f>INPUT!M88</f>
        <v>ABS</v>
      </c>
      <c r="J88" s="38" t="str">
        <f>INPUT!L88</f>
        <v>ABS</v>
      </c>
      <c r="K88" s="205" t="str">
        <f>INPUT!N88</f>
        <v>0031</v>
      </c>
      <c r="L88" s="37" t="str">
        <f>INPUT!P88</f>
        <v>ABS</v>
      </c>
      <c r="M88" s="37" t="str">
        <f>INPUT!R88</f>
        <v>ABS</v>
      </c>
      <c r="N88" s="37" t="str">
        <f>INPUT!T88</f>
        <v>ABS</v>
      </c>
      <c r="O88" s="46" t="str">
        <f>INPUT!S88</f>
        <v>ABS</v>
      </c>
      <c r="P88" s="202" t="str">
        <f>INPUT!U88</f>
        <v>0051</v>
      </c>
      <c r="Q88" s="37" t="str">
        <f>INPUT!W88</f>
        <v>ABS</v>
      </c>
      <c r="R88" s="37" t="str">
        <f>INPUT!Y88</f>
        <v>ABS</v>
      </c>
      <c r="S88" s="37" t="str">
        <f>INPUT!AA88</f>
        <v>ABS</v>
      </c>
      <c r="T88" s="38" t="str">
        <f>INPUT!Z88</f>
        <v>ABS</v>
      </c>
      <c r="U88" s="209">
        <f>INPUT!AB88</f>
        <v>0</v>
      </c>
      <c r="V88" s="37" t="str">
        <f>INPUT!AD88</f>
        <v>ABS</v>
      </c>
      <c r="W88" s="37" t="str">
        <f>INPUT!AF88</f>
        <v>ABS</v>
      </c>
      <c r="X88" s="37" t="str">
        <f>INPUT!AH88</f>
        <v>ABS</v>
      </c>
      <c r="Y88" s="46" t="str">
        <f>INPUT!AG88</f>
        <v>ABS</v>
      </c>
      <c r="Z88" s="209">
        <f>INPUT!AI88</f>
        <v>0</v>
      </c>
      <c r="AA88" s="37" t="str">
        <f>INPUT!AK88</f>
        <v>ABS</v>
      </c>
      <c r="AB88" s="37" t="str">
        <f>INPUT!AM88</f>
        <v>ABS</v>
      </c>
      <c r="AC88" s="37" t="str">
        <f>INPUT!AO88</f>
        <v>ABS</v>
      </c>
      <c r="AD88" s="46" t="str">
        <f>INPUT!AN88</f>
        <v>ABS</v>
      </c>
      <c r="AE88" s="204">
        <f>INPUT!AP88</f>
        <v>0</v>
      </c>
      <c r="AF88" s="37" t="str">
        <f>INPUT!AR88</f>
        <v>ABS</v>
      </c>
      <c r="AG88" s="37" t="str">
        <f>INPUT!AT88</f>
        <v>ABS</v>
      </c>
      <c r="AH88" s="37" t="str">
        <f>INPUT!AV88</f>
        <v>ABS</v>
      </c>
      <c r="AI88" s="38" t="str">
        <f>INPUT!AU88</f>
        <v>ABS</v>
      </c>
      <c r="AJ88" s="40" t="str">
        <f t="shared" si="4"/>
        <v>-</v>
      </c>
      <c r="AK88" s="211">
        <f>INPUT!AX88</f>
        <v>0</v>
      </c>
      <c r="AL88" s="37" t="str">
        <f>INPUT!AZ88</f>
        <v>ABS</v>
      </c>
      <c r="AM88" s="37" t="str">
        <f>INPUT!BB88</f>
        <v>ABS</v>
      </c>
      <c r="AN88" s="37" t="str">
        <f>INPUT!BD88</f>
        <v>ABS</v>
      </c>
      <c r="AO88" s="212" t="str">
        <f>INPUT!BC88</f>
        <v>ABS</v>
      </c>
      <c r="AP88" s="41" t="str">
        <f t="shared" si="5"/>
        <v/>
      </c>
      <c r="AQ88" s="41" t="str">
        <f t="shared" si="6"/>
        <v>ABS</v>
      </c>
      <c r="AR88" s="41" t="str">
        <f t="shared" si="7"/>
        <v/>
      </c>
      <c r="AS88" s="30"/>
      <c r="AT88" s="30"/>
      <c r="AU88" s="30"/>
      <c r="AV88" s="30"/>
      <c r="AX88" s="114" t="str">
        <f>AJ88&amp;"_"&amp;COUNTIF($AJ$5:AJ88,AJ88)</f>
        <v>-_78</v>
      </c>
    </row>
    <row r="89" spans="1:50">
      <c r="A89" s="112"/>
      <c r="B89" s="44">
        <f>INPUT!F89</f>
        <v>0</v>
      </c>
      <c r="C89" s="50">
        <f>INPUT!C89</f>
        <v>0</v>
      </c>
      <c r="D89" s="130">
        <f>INPUT!D89</f>
        <v>0</v>
      </c>
      <c r="E89" s="51">
        <f>INPUT!E89</f>
        <v>0</v>
      </c>
      <c r="F89" s="39" t="str">
        <f>INPUT!G89</f>
        <v>0011</v>
      </c>
      <c r="G89" s="37" t="str">
        <f>INPUT!I89</f>
        <v>ABS</v>
      </c>
      <c r="H89" s="37" t="str">
        <f>INPUT!K89</f>
        <v>ABS</v>
      </c>
      <c r="I89" s="37" t="str">
        <f>INPUT!M89</f>
        <v>ABS</v>
      </c>
      <c r="J89" s="38" t="str">
        <f>INPUT!L89</f>
        <v>ABS</v>
      </c>
      <c r="K89" s="205" t="str">
        <f>INPUT!N89</f>
        <v>0031</v>
      </c>
      <c r="L89" s="37" t="str">
        <f>INPUT!P89</f>
        <v>ABS</v>
      </c>
      <c r="M89" s="37" t="str">
        <f>INPUT!R89</f>
        <v>ABS</v>
      </c>
      <c r="N89" s="37" t="str">
        <f>INPUT!T89</f>
        <v>ABS</v>
      </c>
      <c r="O89" s="46" t="str">
        <f>INPUT!S89</f>
        <v>ABS</v>
      </c>
      <c r="P89" s="202" t="str">
        <f>INPUT!U89</f>
        <v>0051</v>
      </c>
      <c r="Q89" s="37" t="str">
        <f>INPUT!W89</f>
        <v>ABS</v>
      </c>
      <c r="R89" s="37" t="str">
        <f>INPUT!Y89</f>
        <v>ABS</v>
      </c>
      <c r="S89" s="37" t="str">
        <f>INPUT!AA89</f>
        <v>ABS</v>
      </c>
      <c r="T89" s="38" t="str">
        <f>INPUT!Z89</f>
        <v>ABS</v>
      </c>
      <c r="U89" s="209">
        <f>INPUT!AB89</f>
        <v>0</v>
      </c>
      <c r="V89" s="37" t="str">
        <f>INPUT!AD89</f>
        <v>ABS</v>
      </c>
      <c r="W89" s="37" t="str">
        <f>INPUT!AF89</f>
        <v>ABS</v>
      </c>
      <c r="X89" s="37" t="str">
        <f>INPUT!AH89</f>
        <v>ABS</v>
      </c>
      <c r="Y89" s="46" t="str">
        <f>INPUT!AG89</f>
        <v>ABS</v>
      </c>
      <c r="Z89" s="209">
        <f>INPUT!AI89</f>
        <v>0</v>
      </c>
      <c r="AA89" s="37" t="str">
        <f>INPUT!AK89</f>
        <v>ABS</v>
      </c>
      <c r="AB89" s="37" t="str">
        <f>INPUT!AM89</f>
        <v>ABS</v>
      </c>
      <c r="AC89" s="37" t="str">
        <f>INPUT!AO89</f>
        <v>ABS</v>
      </c>
      <c r="AD89" s="46" t="str">
        <f>INPUT!AN89</f>
        <v>ABS</v>
      </c>
      <c r="AE89" s="204">
        <f>INPUT!AP89</f>
        <v>0</v>
      </c>
      <c r="AF89" s="37" t="str">
        <f>INPUT!AR89</f>
        <v>ABS</v>
      </c>
      <c r="AG89" s="37" t="str">
        <f>INPUT!AT89</f>
        <v>ABS</v>
      </c>
      <c r="AH89" s="37" t="str">
        <f>INPUT!AV89</f>
        <v>ABS</v>
      </c>
      <c r="AI89" s="38" t="str">
        <f>INPUT!AU89</f>
        <v>ABS</v>
      </c>
      <c r="AJ89" s="40" t="str">
        <f t="shared" si="4"/>
        <v>-</v>
      </c>
      <c r="AK89" s="211">
        <f>INPUT!AX89</f>
        <v>0</v>
      </c>
      <c r="AL89" s="37" t="str">
        <f>INPUT!AZ89</f>
        <v>ABS</v>
      </c>
      <c r="AM89" s="37" t="str">
        <f>INPUT!BB89</f>
        <v>ABS</v>
      </c>
      <c r="AN89" s="37" t="str">
        <f>INPUT!BD89</f>
        <v>ABS</v>
      </c>
      <c r="AO89" s="212" t="str">
        <f>INPUT!BC89</f>
        <v>ABS</v>
      </c>
      <c r="AP89" s="41" t="str">
        <f t="shared" si="5"/>
        <v/>
      </c>
      <c r="AQ89" s="41" t="str">
        <f t="shared" si="6"/>
        <v>ABS</v>
      </c>
      <c r="AR89" s="41" t="str">
        <f t="shared" si="7"/>
        <v/>
      </c>
      <c r="AS89" s="30"/>
      <c r="AT89" s="30"/>
      <c r="AU89" s="30"/>
      <c r="AV89" s="30"/>
      <c r="AX89" s="114" t="str">
        <f>AJ89&amp;"_"&amp;COUNTIF($AJ$5:AJ89,AJ89)</f>
        <v>-_79</v>
      </c>
    </row>
    <row r="90" spans="1:50">
      <c r="A90" s="112"/>
      <c r="B90" s="44">
        <f>INPUT!F90</f>
        <v>0</v>
      </c>
      <c r="C90" s="50">
        <f>INPUT!C90</f>
        <v>0</v>
      </c>
      <c r="D90" s="130">
        <f>INPUT!D90</f>
        <v>0</v>
      </c>
      <c r="E90" s="51">
        <f>INPUT!E90</f>
        <v>0</v>
      </c>
      <c r="F90" s="39" t="str">
        <f>INPUT!G90</f>
        <v>0011</v>
      </c>
      <c r="G90" s="37" t="str">
        <f>INPUT!I90</f>
        <v>ABS</v>
      </c>
      <c r="H90" s="37" t="str">
        <f>INPUT!K90</f>
        <v>ABS</v>
      </c>
      <c r="I90" s="37" t="str">
        <f>INPUT!M90</f>
        <v>ABS</v>
      </c>
      <c r="J90" s="38" t="str">
        <f>INPUT!L90</f>
        <v>ABS</v>
      </c>
      <c r="K90" s="205" t="str">
        <f>INPUT!N90</f>
        <v>0031</v>
      </c>
      <c r="L90" s="37" t="str">
        <f>INPUT!P90</f>
        <v>ABS</v>
      </c>
      <c r="M90" s="37" t="str">
        <f>INPUT!R90</f>
        <v>ABS</v>
      </c>
      <c r="N90" s="37" t="str">
        <f>INPUT!T90</f>
        <v>ABS</v>
      </c>
      <c r="O90" s="46" t="str">
        <f>INPUT!S90</f>
        <v>ABS</v>
      </c>
      <c r="P90" s="202" t="str">
        <f>INPUT!U90</f>
        <v>0051</v>
      </c>
      <c r="Q90" s="37" t="str">
        <f>INPUT!W90</f>
        <v>ABS</v>
      </c>
      <c r="R90" s="37" t="str">
        <f>INPUT!Y90</f>
        <v>ABS</v>
      </c>
      <c r="S90" s="37" t="str">
        <f>INPUT!AA90</f>
        <v>ABS</v>
      </c>
      <c r="T90" s="38" t="str">
        <f>INPUT!Z90</f>
        <v>ABS</v>
      </c>
      <c r="U90" s="209">
        <f>INPUT!AB90</f>
        <v>0</v>
      </c>
      <c r="V90" s="37" t="str">
        <f>INPUT!AD90</f>
        <v>ABS</v>
      </c>
      <c r="W90" s="37" t="str">
        <f>INPUT!AF90</f>
        <v>ABS</v>
      </c>
      <c r="X90" s="37" t="str">
        <f>INPUT!AH90</f>
        <v>ABS</v>
      </c>
      <c r="Y90" s="46" t="str">
        <f>INPUT!AG90</f>
        <v>ABS</v>
      </c>
      <c r="Z90" s="209">
        <f>INPUT!AI90</f>
        <v>0</v>
      </c>
      <c r="AA90" s="37" t="str">
        <f>INPUT!AK90</f>
        <v>ABS</v>
      </c>
      <c r="AB90" s="37" t="str">
        <f>INPUT!AM90</f>
        <v>ABS</v>
      </c>
      <c r="AC90" s="37" t="str">
        <f>INPUT!AO90</f>
        <v>ABS</v>
      </c>
      <c r="AD90" s="46" t="str">
        <f>INPUT!AN90</f>
        <v>ABS</v>
      </c>
      <c r="AE90" s="204">
        <f>INPUT!AP90</f>
        <v>0</v>
      </c>
      <c r="AF90" s="37" t="str">
        <f>INPUT!AR90</f>
        <v>ABS</v>
      </c>
      <c r="AG90" s="37" t="str">
        <f>INPUT!AT90</f>
        <v>ABS</v>
      </c>
      <c r="AH90" s="37" t="str">
        <f>INPUT!AV90</f>
        <v>ABS</v>
      </c>
      <c r="AI90" s="38" t="str">
        <f>INPUT!AU90</f>
        <v>ABS</v>
      </c>
      <c r="AJ90" s="40" t="str">
        <f t="shared" si="4"/>
        <v>-</v>
      </c>
      <c r="AK90" s="211">
        <f>INPUT!AX90</f>
        <v>0</v>
      </c>
      <c r="AL90" s="37" t="str">
        <f>INPUT!AZ90</f>
        <v>ABS</v>
      </c>
      <c r="AM90" s="37" t="str">
        <f>INPUT!BB90</f>
        <v>ABS</v>
      </c>
      <c r="AN90" s="37" t="str">
        <f>INPUT!BD90</f>
        <v>ABS</v>
      </c>
      <c r="AO90" s="212" t="str">
        <f>INPUT!BC90</f>
        <v>ABS</v>
      </c>
      <c r="AP90" s="41" t="str">
        <f t="shared" si="5"/>
        <v/>
      </c>
      <c r="AQ90" s="41" t="str">
        <f t="shared" si="6"/>
        <v>ABS</v>
      </c>
      <c r="AR90" s="41" t="str">
        <f t="shared" si="7"/>
        <v/>
      </c>
      <c r="AS90" s="30"/>
      <c r="AT90" s="30"/>
      <c r="AU90" s="30"/>
      <c r="AV90" s="30"/>
      <c r="AX90" s="114" t="str">
        <f>AJ90&amp;"_"&amp;COUNTIF($AJ$5:AJ90,AJ90)</f>
        <v>-_80</v>
      </c>
    </row>
    <row r="91" spans="1:50">
      <c r="A91" s="112"/>
      <c r="B91" s="44">
        <f>INPUT!F91</f>
        <v>0</v>
      </c>
      <c r="C91" s="50">
        <f>INPUT!C91</f>
        <v>0</v>
      </c>
      <c r="D91" s="130">
        <f>INPUT!D91</f>
        <v>0</v>
      </c>
      <c r="E91" s="51">
        <f>INPUT!E91</f>
        <v>0</v>
      </c>
      <c r="F91" s="39" t="str">
        <f>INPUT!G91</f>
        <v>0011</v>
      </c>
      <c r="G91" s="37" t="str">
        <f>INPUT!I91</f>
        <v>ABS</v>
      </c>
      <c r="H91" s="37" t="str">
        <f>INPUT!K91</f>
        <v>ABS</v>
      </c>
      <c r="I91" s="37" t="str">
        <f>INPUT!M91</f>
        <v>ABS</v>
      </c>
      <c r="J91" s="38" t="str">
        <f>INPUT!L91</f>
        <v>ABS</v>
      </c>
      <c r="K91" s="205" t="str">
        <f>INPUT!N91</f>
        <v>0031</v>
      </c>
      <c r="L91" s="37" t="str">
        <f>INPUT!P91</f>
        <v>ABS</v>
      </c>
      <c r="M91" s="37" t="str">
        <f>INPUT!R91</f>
        <v>ABS</v>
      </c>
      <c r="N91" s="37" t="str">
        <f>INPUT!T91</f>
        <v>ABS</v>
      </c>
      <c r="O91" s="46" t="str">
        <f>INPUT!S91</f>
        <v>ABS</v>
      </c>
      <c r="P91" s="202" t="str">
        <f>INPUT!U91</f>
        <v>0051</v>
      </c>
      <c r="Q91" s="37" t="str">
        <f>INPUT!W91</f>
        <v>ABS</v>
      </c>
      <c r="R91" s="37" t="str">
        <f>INPUT!Y91</f>
        <v>ABS</v>
      </c>
      <c r="S91" s="37" t="str">
        <f>INPUT!AA91</f>
        <v>ABS</v>
      </c>
      <c r="T91" s="38" t="str">
        <f>INPUT!Z91</f>
        <v>ABS</v>
      </c>
      <c r="U91" s="209">
        <f>INPUT!AB91</f>
        <v>0</v>
      </c>
      <c r="V91" s="37" t="str">
        <f>INPUT!AD91</f>
        <v>ABS</v>
      </c>
      <c r="W91" s="37" t="str">
        <f>INPUT!AF91</f>
        <v>ABS</v>
      </c>
      <c r="X91" s="37" t="str">
        <f>INPUT!AH91</f>
        <v>ABS</v>
      </c>
      <c r="Y91" s="46" t="str">
        <f>INPUT!AG91</f>
        <v>ABS</v>
      </c>
      <c r="Z91" s="209">
        <f>INPUT!AI91</f>
        <v>0</v>
      </c>
      <c r="AA91" s="37" t="str">
        <f>INPUT!AK91</f>
        <v>ABS</v>
      </c>
      <c r="AB91" s="37" t="str">
        <f>INPUT!AM91</f>
        <v>ABS</v>
      </c>
      <c r="AC91" s="37" t="str">
        <f>INPUT!AO91</f>
        <v>ABS</v>
      </c>
      <c r="AD91" s="46" t="str">
        <f>INPUT!AN91</f>
        <v>ABS</v>
      </c>
      <c r="AE91" s="204">
        <f>INPUT!AP91</f>
        <v>0</v>
      </c>
      <c r="AF91" s="37" t="str">
        <f>INPUT!AR91</f>
        <v>ABS</v>
      </c>
      <c r="AG91" s="37" t="str">
        <f>INPUT!AT91</f>
        <v>ABS</v>
      </c>
      <c r="AH91" s="37" t="str">
        <f>INPUT!AV91</f>
        <v>ABS</v>
      </c>
      <c r="AI91" s="38" t="str">
        <f>INPUT!AU91</f>
        <v>ABS</v>
      </c>
      <c r="AJ91" s="40" t="str">
        <f t="shared" si="4"/>
        <v>-</v>
      </c>
      <c r="AK91" s="211">
        <f>INPUT!AX91</f>
        <v>0</v>
      </c>
      <c r="AL91" s="37" t="str">
        <f>INPUT!AZ91</f>
        <v>ABS</v>
      </c>
      <c r="AM91" s="37" t="str">
        <f>INPUT!BB91</f>
        <v>ABS</v>
      </c>
      <c r="AN91" s="37" t="str">
        <f>INPUT!BD91</f>
        <v>ABS</v>
      </c>
      <c r="AO91" s="212" t="str">
        <f>INPUT!BC91</f>
        <v>ABS</v>
      </c>
      <c r="AP91" s="41" t="str">
        <f t="shared" si="5"/>
        <v/>
      </c>
      <c r="AQ91" s="41" t="str">
        <f t="shared" si="6"/>
        <v>ABS</v>
      </c>
      <c r="AR91" s="41" t="str">
        <f t="shared" si="7"/>
        <v/>
      </c>
      <c r="AS91" s="30"/>
      <c r="AT91" s="30"/>
      <c r="AU91" s="30"/>
      <c r="AV91" s="30"/>
      <c r="AX91" s="114" t="str">
        <f>AJ91&amp;"_"&amp;COUNTIF($AJ$5:AJ91,AJ91)</f>
        <v>-_81</v>
      </c>
    </row>
    <row r="92" spans="1:50">
      <c r="A92" s="112"/>
      <c r="B92" s="44">
        <f>INPUT!F92</f>
        <v>0</v>
      </c>
      <c r="C92" s="50">
        <f>INPUT!C92</f>
        <v>0</v>
      </c>
      <c r="D92" s="130">
        <f>INPUT!D92</f>
        <v>0</v>
      </c>
      <c r="E92" s="51">
        <f>INPUT!E92</f>
        <v>0</v>
      </c>
      <c r="F92" s="39" t="str">
        <f>INPUT!G92</f>
        <v>0011</v>
      </c>
      <c r="G92" s="37" t="str">
        <f>INPUT!I92</f>
        <v>ABS</v>
      </c>
      <c r="H92" s="37" t="str">
        <f>INPUT!K92</f>
        <v>ABS</v>
      </c>
      <c r="I92" s="37" t="str">
        <f>INPUT!M92</f>
        <v>ABS</v>
      </c>
      <c r="J92" s="38" t="str">
        <f>INPUT!L92</f>
        <v>ABS</v>
      </c>
      <c r="K92" s="205" t="str">
        <f>INPUT!N92</f>
        <v>0031</v>
      </c>
      <c r="L92" s="37" t="str">
        <f>INPUT!P92</f>
        <v>ABS</v>
      </c>
      <c r="M92" s="37" t="str">
        <f>INPUT!R92</f>
        <v>ABS</v>
      </c>
      <c r="N92" s="37" t="str">
        <f>INPUT!T92</f>
        <v>ABS</v>
      </c>
      <c r="O92" s="46" t="str">
        <f>INPUT!S92</f>
        <v>ABS</v>
      </c>
      <c r="P92" s="202" t="str">
        <f>INPUT!U92</f>
        <v>0051</v>
      </c>
      <c r="Q92" s="37" t="str">
        <f>INPUT!W92</f>
        <v>ABS</v>
      </c>
      <c r="R92" s="37" t="str">
        <f>INPUT!Y92</f>
        <v>ABS</v>
      </c>
      <c r="S92" s="37" t="str">
        <f>INPUT!AA92</f>
        <v>ABS</v>
      </c>
      <c r="T92" s="38" t="str">
        <f>INPUT!Z92</f>
        <v>ABS</v>
      </c>
      <c r="U92" s="209">
        <f>INPUT!AB92</f>
        <v>0</v>
      </c>
      <c r="V92" s="37" t="str">
        <f>INPUT!AD92</f>
        <v>ABS</v>
      </c>
      <c r="W92" s="37" t="str">
        <f>INPUT!AF92</f>
        <v>ABS</v>
      </c>
      <c r="X92" s="37" t="str">
        <f>INPUT!AH92</f>
        <v>ABS</v>
      </c>
      <c r="Y92" s="46" t="str">
        <f>INPUT!AG92</f>
        <v>ABS</v>
      </c>
      <c r="Z92" s="209">
        <f>INPUT!AI92</f>
        <v>0</v>
      </c>
      <c r="AA92" s="37" t="str">
        <f>INPUT!AK92</f>
        <v>ABS</v>
      </c>
      <c r="AB92" s="37" t="str">
        <f>INPUT!AM92</f>
        <v>ABS</v>
      </c>
      <c r="AC92" s="37" t="str">
        <f>INPUT!AO92</f>
        <v>ABS</v>
      </c>
      <c r="AD92" s="46" t="str">
        <f>INPUT!AN92</f>
        <v>ABS</v>
      </c>
      <c r="AE92" s="204">
        <f>INPUT!AP92</f>
        <v>0</v>
      </c>
      <c r="AF92" s="37" t="str">
        <f>INPUT!AR92</f>
        <v>ABS</v>
      </c>
      <c r="AG92" s="37" t="str">
        <f>INPUT!AT92</f>
        <v>ABS</v>
      </c>
      <c r="AH92" s="37" t="str">
        <f>INPUT!AV92</f>
        <v>ABS</v>
      </c>
      <c r="AI92" s="38" t="str">
        <f>INPUT!AU92</f>
        <v>ABS</v>
      </c>
      <c r="AJ92" s="40" t="str">
        <f t="shared" si="4"/>
        <v>-</v>
      </c>
      <c r="AK92" s="211">
        <f>INPUT!AX92</f>
        <v>0</v>
      </c>
      <c r="AL92" s="37" t="str">
        <f>INPUT!AZ92</f>
        <v>ABS</v>
      </c>
      <c r="AM92" s="37" t="str">
        <f>INPUT!BB92</f>
        <v>ABS</v>
      </c>
      <c r="AN92" s="37" t="str">
        <f>INPUT!BD92</f>
        <v>ABS</v>
      </c>
      <c r="AO92" s="212" t="str">
        <f>INPUT!BC92</f>
        <v>ABS</v>
      </c>
      <c r="AP92" s="41" t="str">
        <f t="shared" si="5"/>
        <v/>
      </c>
      <c r="AQ92" s="41" t="str">
        <f t="shared" si="6"/>
        <v>ABS</v>
      </c>
      <c r="AR92" s="41" t="str">
        <f t="shared" si="7"/>
        <v/>
      </c>
      <c r="AS92" s="30"/>
      <c r="AT92" s="30"/>
      <c r="AU92" s="30"/>
      <c r="AV92" s="30"/>
      <c r="AX92" s="114" t="str">
        <f>AJ92&amp;"_"&amp;COUNTIF($AJ$5:AJ92,AJ92)</f>
        <v>-_82</v>
      </c>
    </row>
    <row r="93" spans="1:50">
      <c r="A93" s="112"/>
      <c r="B93" s="44">
        <f>INPUT!F93</f>
        <v>0</v>
      </c>
      <c r="C93" s="50">
        <f>INPUT!C93</f>
        <v>0</v>
      </c>
      <c r="D93" s="130">
        <f>INPUT!D93</f>
        <v>0</v>
      </c>
      <c r="E93" s="51">
        <f>INPUT!E93</f>
        <v>0</v>
      </c>
      <c r="F93" s="39" t="str">
        <f>INPUT!G93</f>
        <v>0011</v>
      </c>
      <c r="G93" s="37" t="str">
        <f>INPUT!I93</f>
        <v>ABS</v>
      </c>
      <c r="H93" s="37" t="str">
        <f>INPUT!K93</f>
        <v>ABS</v>
      </c>
      <c r="I93" s="37" t="str">
        <f>INPUT!M93</f>
        <v>ABS</v>
      </c>
      <c r="J93" s="38" t="str">
        <f>INPUT!L93</f>
        <v>ABS</v>
      </c>
      <c r="K93" s="205" t="str">
        <f>INPUT!N93</f>
        <v>0031</v>
      </c>
      <c r="L93" s="37" t="str">
        <f>INPUT!P93</f>
        <v>ABS</v>
      </c>
      <c r="M93" s="37" t="str">
        <f>INPUT!R93</f>
        <v>ABS</v>
      </c>
      <c r="N93" s="37" t="str">
        <f>INPUT!T93</f>
        <v>ABS</v>
      </c>
      <c r="O93" s="46" t="str">
        <f>INPUT!S93</f>
        <v>ABS</v>
      </c>
      <c r="P93" s="202" t="str">
        <f>INPUT!U93</f>
        <v>0051</v>
      </c>
      <c r="Q93" s="37" t="str">
        <f>INPUT!W93</f>
        <v>ABS</v>
      </c>
      <c r="R93" s="37" t="str">
        <f>INPUT!Y93</f>
        <v>ABS</v>
      </c>
      <c r="S93" s="37" t="str">
        <f>INPUT!AA93</f>
        <v>ABS</v>
      </c>
      <c r="T93" s="38" t="str">
        <f>INPUT!Z93</f>
        <v>ABS</v>
      </c>
      <c r="U93" s="209">
        <f>INPUT!AB93</f>
        <v>0</v>
      </c>
      <c r="V93" s="37" t="str">
        <f>INPUT!AD93</f>
        <v>ABS</v>
      </c>
      <c r="W93" s="37" t="str">
        <f>INPUT!AF93</f>
        <v>ABS</v>
      </c>
      <c r="X93" s="37" t="str">
        <f>INPUT!AH93</f>
        <v>ABS</v>
      </c>
      <c r="Y93" s="46" t="str">
        <f>INPUT!AG93</f>
        <v>ABS</v>
      </c>
      <c r="Z93" s="209">
        <f>INPUT!AI93</f>
        <v>0</v>
      </c>
      <c r="AA93" s="37" t="str">
        <f>INPUT!AK93</f>
        <v>ABS</v>
      </c>
      <c r="AB93" s="37" t="str">
        <f>INPUT!AM93</f>
        <v>ABS</v>
      </c>
      <c r="AC93" s="37" t="str">
        <f>INPUT!AO93</f>
        <v>ABS</v>
      </c>
      <c r="AD93" s="46" t="str">
        <f>INPUT!AN93</f>
        <v>ABS</v>
      </c>
      <c r="AE93" s="204">
        <f>INPUT!AP93</f>
        <v>0</v>
      </c>
      <c r="AF93" s="37" t="str">
        <f>INPUT!AR93</f>
        <v>ABS</v>
      </c>
      <c r="AG93" s="37" t="str">
        <f>INPUT!AT93</f>
        <v>ABS</v>
      </c>
      <c r="AH93" s="37" t="str">
        <f>INPUT!AV93</f>
        <v>ABS</v>
      </c>
      <c r="AI93" s="38" t="str">
        <f>INPUT!AU93</f>
        <v>ABS</v>
      </c>
      <c r="AJ93" s="40" t="str">
        <f t="shared" si="4"/>
        <v>-</v>
      </c>
      <c r="AK93" s="211">
        <f>INPUT!AX93</f>
        <v>0</v>
      </c>
      <c r="AL93" s="37" t="str">
        <f>INPUT!AZ93</f>
        <v>ABS</v>
      </c>
      <c r="AM93" s="37" t="str">
        <f>INPUT!BB93</f>
        <v>ABS</v>
      </c>
      <c r="AN93" s="37" t="str">
        <f>INPUT!BD93</f>
        <v>ABS</v>
      </c>
      <c r="AO93" s="212" t="str">
        <f>INPUT!BC93</f>
        <v>ABS</v>
      </c>
      <c r="AP93" s="41" t="str">
        <f t="shared" si="5"/>
        <v/>
      </c>
      <c r="AQ93" s="41" t="str">
        <f t="shared" si="6"/>
        <v>ABS</v>
      </c>
      <c r="AR93" s="41" t="str">
        <f t="shared" si="7"/>
        <v/>
      </c>
      <c r="AS93" s="30"/>
      <c r="AT93" s="30"/>
      <c r="AU93" s="30"/>
      <c r="AV93" s="30"/>
      <c r="AX93" s="114" t="str">
        <f>AJ93&amp;"_"&amp;COUNTIF($AJ$5:AJ93,AJ93)</f>
        <v>-_83</v>
      </c>
    </row>
    <row r="94" spans="1:50">
      <c r="A94" s="112"/>
      <c r="B94" s="44">
        <f>INPUT!F94</f>
        <v>0</v>
      </c>
      <c r="C94" s="50">
        <f>INPUT!C94</f>
        <v>0</v>
      </c>
      <c r="D94" s="130">
        <f>INPUT!D94</f>
        <v>0</v>
      </c>
      <c r="E94" s="51">
        <f>INPUT!E94</f>
        <v>0</v>
      </c>
      <c r="F94" s="39" t="str">
        <f>INPUT!G94</f>
        <v>0011</v>
      </c>
      <c r="G94" s="37" t="str">
        <f>INPUT!I94</f>
        <v>ABS</v>
      </c>
      <c r="H94" s="37" t="str">
        <f>INPUT!K94</f>
        <v>ABS</v>
      </c>
      <c r="I94" s="37" t="str">
        <f>INPUT!M94</f>
        <v>ABS</v>
      </c>
      <c r="J94" s="38" t="str">
        <f>INPUT!L94</f>
        <v>ABS</v>
      </c>
      <c r="K94" s="205" t="str">
        <f>INPUT!N94</f>
        <v>0031</v>
      </c>
      <c r="L94" s="37" t="str">
        <f>INPUT!P94</f>
        <v>ABS</v>
      </c>
      <c r="M94" s="37" t="str">
        <f>INPUT!R94</f>
        <v>ABS</v>
      </c>
      <c r="N94" s="37" t="str">
        <f>INPUT!T94</f>
        <v>ABS</v>
      </c>
      <c r="O94" s="46" t="str">
        <f>INPUT!S94</f>
        <v>ABS</v>
      </c>
      <c r="P94" s="202" t="str">
        <f>INPUT!U94</f>
        <v>0051</v>
      </c>
      <c r="Q94" s="37" t="str">
        <f>INPUT!W94</f>
        <v>ABS</v>
      </c>
      <c r="R94" s="37" t="str">
        <f>INPUT!Y94</f>
        <v>ABS</v>
      </c>
      <c r="S94" s="37" t="str">
        <f>INPUT!AA94</f>
        <v>ABS</v>
      </c>
      <c r="T94" s="38" t="str">
        <f>INPUT!Z94</f>
        <v>ABS</v>
      </c>
      <c r="U94" s="209">
        <f>INPUT!AB94</f>
        <v>0</v>
      </c>
      <c r="V94" s="37" t="str">
        <f>INPUT!AD94</f>
        <v>ABS</v>
      </c>
      <c r="W94" s="37" t="str">
        <f>INPUT!AF94</f>
        <v>ABS</v>
      </c>
      <c r="X94" s="37" t="str">
        <f>INPUT!AH94</f>
        <v>ABS</v>
      </c>
      <c r="Y94" s="46" t="str">
        <f>INPUT!AG94</f>
        <v>ABS</v>
      </c>
      <c r="Z94" s="209">
        <f>INPUT!AI94</f>
        <v>0</v>
      </c>
      <c r="AA94" s="37" t="str">
        <f>INPUT!AK94</f>
        <v>ABS</v>
      </c>
      <c r="AB94" s="37" t="str">
        <f>INPUT!AM94</f>
        <v>ABS</v>
      </c>
      <c r="AC94" s="37" t="str">
        <f>INPUT!AO94</f>
        <v>ABS</v>
      </c>
      <c r="AD94" s="46" t="str">
        <f>INPUT!AN94</f>
        <v>ABS</v>
      </c>
      <c r="AE94" s="204">
        <f>INPUT!AP94</f>
        <v>0</v>
      </c>
      <c r="AF94" s="37" t="str">
        <f>INPUT!AR94</f>
        <v>ABS</v>
      </c>
      <c r="AG94" s="37" t="str">
        <f>INPUT!AT94</f>
        <v>ABS</v>
      </c>
      <c r="AH94" s="37" t="str">
        <f>INPUT!AV94</f>
        <v>ABS</v>
      </c>
      <c r="AI94" s="38" t="str">
        <f>INPUT!AU94</f>
        <v>ABS</v>
      </c>
      <c r="AJ94" s="40" t="str">
        <f t="shared" si="4"/>
        <v>-</v>
      </c>
      <c r="AK94" s="211">
        <f>INPUT!AX94</f>
        <v>0</v>
      </c>
      <c r="AL94" s="37" t="str">
        <f>INPUT!AZ94</f>
        <v>ABS</v>
      </c>
      <c r="AM94" s="37" t="str">
        <f>INPUT!BB94</f>
        <v>ABS</v>
      </c>
      <c r="AN94" s="37" t="str">
        <f>INPUT!BD94</f>
        <v>ABS</v>
      </c>
      <c r="AO94" s="212" t="str">
        <f>INPUT!BC94</f>
        <v>ABS</v>
      </c>
      <c r="AP94" s="41" t="str">
        <f t="shared" si="5"/>
        <v/>
      </c>
      <c r="AQ94" s="41" t="str">
        <f t="shared" si="6"/>
        <v>ABS</v>
      </c>
      <c r="AR94" s="41" t="str">
        <f t="shared" si="7"/>
        <v/>
      </c>
      <c r="AS94" s="30"/>
      <c r="AT94" s="30"/>
      <c r="AU94" s="30"/>
      <c r="AV94" s="30"/>
      <c r="AX94" s="114" t="str">
        <f>AJ94&amp;"_"&amp;COUNTIF($AJ$5:AJ94,AJ94)</f>
        <v>-_84</v>
      </c>
    </row>
    <row r="95" spans="1:50">
      <c r="A95" s="112"/>
      <c r="B95" s="44">
        <f>INPUT!F95</f>
        <v>0</v>
      </c>
      <c r="C95" s="50">
        <f>INPUT!C95</f>
        <v>0</v>
      </c>
      <c r="D95" s="130">
        <f>INPUT!D95</f>
        <v>0</v>
      </c>
      <c r="E95" s="51">
        <f>INPUT!E95</f>
        <v>0</v>
      </c>
      <c r="F95" s="39" t="str">
        <f>INPUT!G95</f>
        <v>0011</v>
      </c>
      <c r="G95" s="37" t="str">
        <f>INPUT!I95</f>
        <v>ABS</v>
      </c>
      <c r="H95" s="37" t="str">
        <f>INPUT!K95</f>
        <v>ABS</v>
      </c>
      <c r="I95" s="37" t="str">
        <f>INPUT!M95</f>
        <v>ABS</v>
      </c>
      <c r="J95" s="38" t="str">
        <f>INPUT!L95</f>
        <v>ABS</v>
      </c>
      <c r="K95" s="205" t="str">
        <f>INPUT!N95</f>
        <v>0031</v>
      </c>
      <c r="L95" s="37" t="str">
        <f>INPUT!P95</f>
        <v>ABS</v>
      </c>
      <c r="M95" s="37" t="str">
        <f>INPUT!R95</f>
        <v>ABS</v>
      </c>
      <c r="N95" s="37" t="str">
        <f>INPUT!T95</f>
        <v>ABS</v>
      </c>
      <c r="O95" s="46" t="str">
        <f>INPUT!S95</f>
        <v>ABS</v>
      </c>
      <c r="P95" s="202" t="str">
        <f>INPUT!U95</f>
        <v>0051</v>
      </c>
      <c r="Q95" s="37" t="str">
        <f>INPUT!W95</f>
        <v>ABS</v>
      </c>
      <c r="R95" s="37" t="str">
        <f>INPUT!Y95</f>
        <v>ABS</v>
      </c>
      <c r="S95" s="37" t="str">
        <f>INPUT!AA95</f>
        <v>ABS</v>
      </c>
      <c r="T95" s="38" t="str">
        <f>INPUT!Z95</f>
        <v>ABS</v>
      </c>
      <c r="U95" s="209">
        <f>INPUT!AB95</f>
        <v>0</v>
      </c>
      <c r="V95" s="37" t="str">
        <f>INPUT!AD95</f>
        <v>ABS</v>
      </c>
      <c r="W95" s="37" t="str">
        <f>INPUT!AF95</f>
        <v>ABS</v>
      </c>
      <c r="X95" s="37" t="str">
        <f>INPUT!AH95</f>
        <v>ABS</v>
      </c>
      <c r="Y95" s="46" t="str">
        <f>INPUT!AG95</f>
        <v>ABS</v>
      </c>
      <c r="Z95" s="209">
        <f>INPUT!AI95</f>
        <v>0</v>
      </c>
      <c r="AA95" s="37" t="str">
        <f>INPUT!AK95</f>
        <v>ABS</v>
      </c>
      <c r="AB95" s="37" t="str">
        <f>INPUT!AM95</f>
        <v>ABS</v>
      </c>
      <c r="AC95" s="37" t="str">
        <f>INPUT!AO95</f>
        <v>ABS</v>
      </c>
      <c r="AD95" s="46" t="str">
        <f>INPUT!AN95</f>
        <v>ABS</v>
      </c>
      <c r="AE95" s="204">
        <f>INPUT!AP95</f>
        <v>0</v>
      </c>
      <c r="AF95" s="37" t="str">
        <f>INPUT!AR95</f>
        <v>ABS</v>
      </c>
      <c r="AG95" s="37" t="str">
        <f>INPUT!AT95</f>
        <v>ABS</v>
      </c>
      <c r="AH95" s="37" t="str">
        <f>INPUT!AV95</f>
        <v>ABS</v>
      </c>
      <c r="AI95" s="38" t="str">
        <f>INPUT!AU95</f>
        <v>ABS</v>
      </c>
      <c r="AJ95" s="40" t="str">
        <f t="shared" si="4"/>
        <v>-</v>
      </c>
      <c r="AK95" s="211">
        <f>INPUT!AX95</f>
        <v>0</v>
      </c>
      <c r="AL95" s="37" t="str">
        <f>INPUT!AZ95</f>
        <v>ABS</v>
      </c>
      <c r="AM95" s="37" t="str">
        <f>INPUT!BB95</f>
        <v>ABS</v>
      </c>
      <c r="AN95" s="37" t="str">
        <f>INPUT!BD95</f>
        <v>ABS</v>
      </c>
      <c r="AO95" s="212" t="str">
        <f>INPUT!BC95</f>
        <v>ABS</v>
      </c>
      <c r="AP95" s="41" t="str">
        <f t="shared" si="5"/>
        <v/>
      </c>
      <c r="AQ95" s="41" t="str">
        <f t="shared" si="6"/>
        <v>ABS</v>
      </c>
      <c r="AR95" s="41" t="str">
        <f t="shared" si="7"/>
        <v/>
      </c>
      <c r="AS95" s="30"/>
      <c r="AT95" s="30"/>
      <c r="AU95" s="30"/>
      <c r="AV95" s="30"/>
      <c r="AX95" s="114" t="str">
        <f>AJ95&amp;"_"&amp;COUNTIF($AJ$5:AJ95,AJ95)</f>
        <v>-_85</v>
      </c>
    </row>
    <row r="96" spans="1:50">
      <c r="A96" s="112"/>
      <c r="B96" s="44">
        <f>INPUT!F96</f>
        <v>0</v>
      </c>
      <c r="C96" s="50">
        <f>INPUT!C96</f>
        <v>0</v>
      </c>
      <c r="D96" s="130">
        <f>INPUT!D96</f>
        <v>0</v>
      </c>
      <c r="E96" s="51">
        <f>INPUT!E96</f>
        <v>0</v>
      </c>
      <c r="F96" s="39" t="str">
        <f>INPUT!G96</f>
        <v>0011</v>
      </c>
      <c r="G96" s="37" t="str">
        <f>INPUT!I96</f>
        <v>ABS</v>
      </c>
      <c r="H96" s="37" t="str">
        <f>INPUT!K96</f>
        <v>ABS</v>
      </c>
      <c r="I96" s="37" t="str">
        <f>INPUT!M96</f>
        <v>ABS</v>
      </c>
      <c r="J96" s="38" t="str">
        <f>INPUT!L96</f>
        <v>ABS</v>
      </c>
      <c r="K96" s="205" t="str">
        <f>INPUT!N96</f>
        <v>0031</v>
      </c>
      <c r="L96" s="37" t="str">
        <f>INPUT!P96</f>
        <v>ABS</v>
      </c>
      <c r="M96" s="37" t="str">
        <f>INPUT!R96</f>
        <v>ABS</v>
      </c>
      <c r="N96" s="37" t="str">
        <f>INPUT!T96</f>
        <v>ABS</v>
      </c>
      <c r="O96" s="46" t="str">
        <f>INPUT!S96</f>
        <v>ABS</v>
      </c>
      <c r="P96" s="202" t="str">
        <f>INPUT!U96</f>
        <v>0051</v>
      </c>
      <c r="Q96" s="37" t="str">
        <f>INPUT!W96</f>
        <v>ABS</v>
      </c>
      <c r="R96" s="37" t="str">
        <f>INPUT!Y96</f>
        <v>ABS</v>
      </c>
      <c r="S96" s="37" t="str">
        <f>INPUT!AA96</f>
        <v>ABS</v>
      </c>
      <c r="T96" s="38" t="str">
        <f>INPUT!Z96</f>
        <v>ABS</v>
      </c>
      <c r="U96" s="209">
        <f>INPUT!AB96</f>
        <v>0</v>
      </c>
      <c r="V96" s="37" t="str">
        <f>INPUT!AD96</f>
        <v>ABS</v>
      </c>
      <c r="W96" s="37" t="str">
        <f>INPUT!AF96</f>
        <v>ABS</v>
      </c>
      <c r="X96" s="37" t="str">
        <f>INPUT!AH96</f>
        <v>ABS</v>
      </c>
      <c r="Y96" s="46" t="str">
        <f>INPUT!AG96</f>
        <v>ABS</v>
      </c>
      <c r="Z96" s="209">
        <f>INPUT!AI96</f>
        <v>0</v>
      </c>
      <c r="AA96" s="37" t="str">
        <f>INPUT!AK96</f>
        <v>ABS</v>
      </c>
      <c r="AB96" s="37" t="str">
        <f>INPUT!AM96</f>
        <v>ABS</v>
      </c>
      <c r="AC96" s="37" t="str">
        <f>INPUT!AO96</f>
        <v>ABS</v>
      </c>
      <c r="AD96" s="46" t="str">
        <f>INPUT!AN96</f>
        <v>ABS</v>
      </c>
      <c r="AE96" s="204">
        <f>INPUT!AP96</f>
        <v>0</v>
      </c>
      <c r="AF96" s="37" t="str">
        <f>INPUT!AR96</f>
        <v>ABS</v>
      </c>
      <c r="AG96" s="37" t="str">
        <f>INPUT!AT96</f>
        <v>ABS</v>
      </c>
      <c r="AH96" s="37" t="str">
        <f>INPUT!AV96</f>
        <v>ABS</v>
      </c>
      <c r="AI96" s="38" t="str">
        <f>INPUT!AU96</f>
        <v>ABS</v>
      </c>
      <c r="AJ96" s="40" t="str">
        <f t="shared" si="4"/>
        <v>-</v>
      </c>
      <c r="AK96" s="211">
        <f>INPUT!AX96</f>
        <v>0</v>
      </c>
      <c r="AL96" s="37" t="str">
        <f>INPUT!AZ96</f>
        <v>ABS</v>
      </c>
      <c r="AM96" s="37" t="str">
        <f>INPUT!BB96</f>
        <v>ABS</v>
      </c>
      <c r="AN96" s="37" t="str">
        <f>INPUT!BD96</f>
        <v>ABS</v>
      </c>
      <c r="AO96" s="212" t="str">
        <f>INPUT!BC96</f>
        <v>ABS</v>
      </c>
      <c r="AP96" s="41" t="str">
        <f t="shared" si="5"/>
        <v/>
      </c>
      <c r="AQ96" s="41" t="str">
        <f t="shared" si="6"/>
        <v>ABS</v>
      </c>
      <c r="AR96" s="41" t="str">
        <f t="shared" si="7"/>
        <v/>
      </c>
      <c r="AS96" s="30"/>
      <c r="AT96" s="30"/>
      <c r="AU96" s="30"/>
      <c r="AV96" s="30"/>
      <c r="AX96" s="114" t="str">
        <f>AJ96&amp;"_"&amp;COUNTIF($AJ$5:AJ96,AJ96)</f>
        <v>-_86</v>
      </c>
    </row>
    <row r="97" spans="1:50">
      <c r="A97" s="112"/>
      <c r="B97" s="44">
        <f>INPUT!F97</f>
        <v>0</v>
      </c>
      <c r="C97" s="50">
        <f>INPUT!C97</f>
        <v>0</v>
      </c>
      <c r="D97" s="130">
        <f>INPUT!D97</f>
        <v>0</v>
      </c>
      <c r="E97" s="51">
        <f>INPUT!E97</f>
        <v>0</v>
      </c>
      <c r="F97" s="39" t="str">
        <f>INPUT!G97</f>
        <v>0011</v>
      </c>
      <c r="G97" s="37" t="str">
        <f>INPUT!I97</f>
        <v>ABS</v>
      </c>
      <c r="H97" s="37" t="str">
        <f>INPUT!K97</f>
        <v>ABS</v>
      </c>
      <c r="I97" s="37" t="str">
        <f>INPUT!M97</f>
        <v>ABS</v>
      </c>
      <c r="J97" s="38" t="str">
        <f>INPUT!L97</f>
        <v>ABS</v>
      </c>
      <c r="K97" s="205" t="str">
        <f>INPUT!N97</f>
        <v>0031</v>
      </c>
      <c r="L97" s="37" t="str">
        <f>INPUT!P97</f>
        <v>ABS</v>
      </c>
      <c r="M97" s="37" t="str">
        <f>INPUT!R97</f>
        <v>ABS</v>
      </c>
      <c r="N97" s="37" t="str">
        <f>INPUT!T97</f>
        <v>ABS</v>
      </c>
      <c r="O97" s="46" t="str">
        <f>INPUT!S97</f>
        <v>ABS</v>
      </c>
      <c r="P97" s="202" t="str">
        <f>INPUT!U97</f>
        <v>0051</v>
      </c>
      <c r="Q97" s="37" t="str">
        <f>INPUT!W97</f>
        <v>ABS</v>
      </c>
      <c r="R97" s="37" t="str">
        <f>INPUT!Y97</f>
        <v>ABS</v>
      </c>
      <c r="S97" s="37" t="str">
        <f>INPUT!AA97</f>
        <v>ABS</v>
      </c>
      <c r="T97" s="38" t="str">
        <f>INPUT!Z97</f>
        <v>ABS</v>
      </c>
      <c r="U97" s="209">
        <f>INPUT!AB97</f>
        <v>0</v>
      </c>
      <c r="V97" s="37" t="str">
        <f>INPUT!AD97</f>
        <v>ABS</v>
      </c>
      <c r="W97" s="37" t="str">
        <f>INPUT!AF97</f>
        <v>ABS</v>
      </c>
      <c r="X97" s="37" t="str">
        <f>INPUT!AH97</f>
        <v>ABS</v>
      </c>
      <c r="Y97" s="46" t="str">
        <f>INPUT!AG97</f>
        <v>ABS</v>
      </c>
      <c r="Z97" s="209">
        <f>INPUT!AI97</f>
        <v>0</v>
      </c>
      <c r="AA97" s="37" t="str">
        <f>INPUT!AK97</f>
        <v>ABS</v>
      </c>
      <c r="AB97" s="37" t="str">
        <f>INPUT!AM97</f>
        <v>ABS</v>
      </c>
      <c r="AC97" s="37" t="str">
        <f>INPUT!AO97</f>
        <v>ABS</v>
      </c>
      <c r="AD97" s="46" t="str">
        <f>INPUT!AN97</f>
        <v>ABS</v>
      </c>
      <c r="AE97" s="204">
        <f>INPUT!AP97</f>
        <v>0</v>
      </c>
      <c r="AF97" s="37" t="str">
        <f>INPUT!AR97</f>
        <v>ABS</v>
      </c>
      <c r="AG97" s="37" t="str">
        <f>INPUT!AT97</f>
        <v>ABS</v>
      </c>
      <c r="AH97" s="37" t="str">
        <f>INPUT!AV97</f>
        <v>ABS</v>
      </c>
      <c r="AI97" s="38" t="str">
        <f>INPUT!AU97</f>
        <v>ABS</v>
      </c>
      <c r="AJ97" s="40" t="str">
        <f t="shared" si="4"/>
        <v>-</v>
      </c>
      <c r="AK97" s="211">
        <f>INPUT!AX97</f>
        <v>0</v>
      </c>
      <c r="AL97" s="37" t="str">
        <f>INPUT!AZ97</f>
        <v>ABS</v>
      </c>
      <c r="AM97" s="37" t="str">
        <f>INPUT!BB97</f>
        <v>ABS</v>
      </c>
      <c r="AN97" s="37" t="str">
        <f>INPUT!BD97</f>
        <v>ABS</v>
      </c>
      <c r="AO97" s="212" t="str">
        <f>INPUT!BC97</f>
        <v>ABS</v>
      </c>
      <c r="AP97" s="41" t="str">
        <f t="shared" si="5"/>
        <v/>
      </c>
      <c r="AQ97" s="41" t="str">
        <f t="shared" si="6"/>
        <v>ABS</v>
      </c>
      <c r="AR97" s="41" t="str">
        <f t="shared" si="7"/>
        <v/>
      </c>
      <c r="AS97" s="30"/>
      <c r="AT97" s="30"/>
      <c r="AU97" s="30"/>
      <c r="AV97" s="30"/>
      <c r="AX97" s="114" t="str">
        <f>AJ97&amp;"_"&amp;COUNTIF($AJ$5:AJ97,AJ97)</f>
        <v>-_87</v>
      </c>
    </row>
    <row r="98" spans="1:50">
      <c r="A98" s="112"/>
      <c r="B98" s="44">
        <f>INPUT!F98</f>
        <v>0</v>
      </c>
      <c r="C98" s="50">
        <f>INPUT!C98</f>
        <v>0</v>
      </c>
      <c r="D98" s="130">
        <f>INPUT!D98</f>
        <v>0</v>
      </c>
      <c r="E98" s="51">
        <f>INPUT!E98</f>
        <v>0</v>
      </c>
      <c r="F98" s="39" t="str">
        <f>INPUT!G98</f>
        <v>0011</v>
      </c>
      <c r="G98" s="37" t="str">
        <f>INPUT!I98</f>
        <v>ABS</v>
      </c>
      <c r="H98" s="37" t="str">
        <f>INPUT!K98</f>
        <v>ABS</v>
      </c>
      <c r="I98" s="37" t="str">
        <f>INPUT!M98</f>
        <v>ABS</v>
      </c>
      <c r="J98" s="38" t="str">
        <f>INPUT!L98</f>
        <v>ABS</v>
      </c>
      <c r="K98" s="205" t="str">
        <f>INPUT!N98</f>
        <v>0031</v>
      </c>
      <c r="L98" s="37" t="str">
        <f>INPUT!P98</f>
        <v>ABS</v>
      </c>
      <c r="M98" s="37" t="str">
        <f>INPUT!R98</f>
        <v>ABS</v>
      </c>
      <c r="N98" s="37" t="str">
        <f>INPUT!T98</f>
        <v>ABS</v>
      </c>
      <c r="O98" s="46" t="str">
        <f>INPUT!S98</f>
        <v>ABS</v>
      </c>
      <c r="P98" s="202" t="str">
        <f>INPUT!U98</f>
        <v>0051</v>
      </c>
      <c r="Q98" s="37" t="str">
        <f>INPUT!W98</f>
        <v>ABS</v>
      </c>
      <c r="R98" s="37" t="str">
        <f>INPUT!Y98</f>
        <v>ABS</v>
      </c>
      <c r="S98" s="37" t="str">
        <f>INPUT!AA98</f>
        <v>ABS</v>
      </c>
      <c r="T98" s="38" t="str">
        <f>INPUT!Z98</f>
        <v>ABS</v>
      </c>
      <c r="U98" s="209">
        <f>INPUT!AB98</f>
        <v>0</v>
      </c>
      <c r="V98" s="37" t="str">
        <f>INPUT!AD98</f>
        <v>ABS</v>
      </c>
      <c r="W98" s="37" t="str">
        <f>INPUT!AF98</f>
        <v>ABS</v>
      </c>
      <c r="X98" s="37" t="str">
        <f>INPUT!AH98</f>
        <v>ABS</v>
      </c>
      <c r="Y98" s="46" t="str">
        <f>INPUT!AG98</f>
        <v>ABS</v>
      </c>
      <c r="Z98" s="209">
        <f>INPUT!AI98</f>
        <v>0</v>
      </c>
      <c r="AA98" s="37" t="str">
        <f>INPUT!AK98</f>
        <v>ABS</v>
      </c>
      <c r="AB98" s="37" t="str">
        <f>INPUT!AM98</f>
        <v>ABS</v>
      </c>
      <c r="AC98" s="37" t="str">
        <f>INPUT!AO98</f>
        <v>ABS</v>
      </c>
      <c r="AD98" s="46" t="str">
        <f>INPUT!AN98</f>
        <v>ABS</v>
      </c>
      <c r="AE98" s="204">
        <f>INPUT!AP98</f>
        <v>0</v>
      </c>
      <c r="AF98" s="37" t="str">
        <f>INPUT!AR98</f>
        <v>ABS</v>
      </c>
      <c r="AG98" s="37" t="str">
        <f>INPUT!AT98</f>
        <v>ABS</v>
      </c>
      <c r="AH98" s="37" t="str">
        <f>INPUT!AV98</f>
        <v>ABS</v>
      </c>
      <c r="AI98" s="38" t="str">
        <f>INPUT!AU98</f>
        <v>ABS</v>
      </c>
      <c r="AJ98" s="40" t="str">
        <f t="shared" si="4"/>
        <v>-</v>
      </c>
      <c r="AK98" s="211">
        <f>INPUT!AX98</f>
        <v>0</v>
      </c>
      <c r="AL98" s="37" t="str">
        <f>INPUT!AZ98</f>
        <v>ABS</v>
      </c>
      <c r="AM98" s="37" t="str">
        <f>INPUT!BB98</f>
        <v>ABS</v>
      </c>
      <c r="AN98" s="37" t="str">
        <f>INPUT!BD98</f>
        <v>ABS</v>
      </c>
      <c r="AO98" s="212" t="str">
        <f>INPUT!BC98</f>
        <v>ABS</v>
      </c>
      <c r="AP98" s="41" t="str">
        <f t="shared" si="5"/>
        <v/>
      </c>
      <c r="AQ98" s="41" t="str">
        <f t="shared" si="6"/>
        <v>ABS</v>
      </c>
      <c r="AR98" s="41" t="str">
        <f t="shared" si="7"/>
        <v/>
      </c>
      <c r="AS98" s="30"/>
      <c r="AT98" s="30"/>
      <c r="AU98" s="30"/>
      <c r="AV98" s="30"/>
      <c r="AX98" s="114" t="str">
        <f>AJ98&amp;"_"&amp;COUNTIF($AJ$5:AJ98,AJ98)</f>
        <v>-_88</v>
      </c>
    </row>
    <row r="99" spans="1:50">
      <c r="A99" s="112"/>
      <c r="B99" s="44">
        <f>INPUT!F99</f>
        <v>0</v>
      </c>
      <c r="C99" s="50">
        <f>INPUT!C99</f>
        <v>0</v>
      </c>
      <c r="D99" s="130">
        <f>INPUT!D99</f>
        <v>0</v>
      </c>
      <c r="E99" s="51">
        <f>INPUT!E99</f>
        <v>0</v>
      </c>
      <c r="F99" s="39" t="str">
        <f>INPUT!G99</f>
        <v>0011</v>
      </c>
      <c r="G99" s="37" t="str">
        <f>INPUT!I99</f>
        <v>ABS</v>
      </c>
      <c r="H99" s="37" t="str">
        <f>INPUT!K99</f>
        <v>ABS</v>
      </c>
      <c r="I99" s="37" t="str">
        <f>INPUT!M99</f>
        <v>ABS</v>
      </c>
      <c r="J99" s="38" t="str">
        <f>INPUT!L99</f>
        <v>ABS</v>
      </c>
      <c r="K99" s="205" t="str">
        <f>INPUT!N99</f>
        <v>0031</v>
      </c>
      <c r="L99" s="37" t="str">
        <f>INPUT!P99</f>
        <v>ABS</v>
      </c>
      <c r="M99" s="37" t="str">
        <f>INPUT!R99</f>
        <v>ABS</v>
      </c>
      <c r="N99" s="37" t="str">
        <f>INPUT!T99</f>
        <v>ABS</v>
      </c>
      <c r="O99" s="46" t="str">
        <f>INPUT!S99</f>
        <v>ABS</v>
      </c>
      <c r="P99" s="202" t="str">
        <f>INPUT!U99</f>
        <v>0051</v>
      </c>
      <c r="Q99" s="37" t="str">
        <f>INPUT!W99</f>
        <v>ABS</v>
      </c>
      <c r="R99" s="37" t="str">
        <f>INPUT!Y99</f>
        <v>ABS</v>
      </c>
      <c r="S99" s="37" t="str">
        <f>INPUT!AA99</f>
        <v>ABS</v>
      </c>
      <c r="T99" s="38" t="str">
        <f>INPUT!Z99</f>
        <v>ABS</v>
      </c>
      <c r="U99" s="209">
        <f>INPUT!AB99</f>
        <v>0</v>
      </c>
      <c r="V99" s="37" t="str">
        <f>INPUT!AD99</f>
        <v>ABS</v>
      </c>
      <c r="W99" s="37" t="str">
        <f>INPUT!AF99</f>
        <v>ABS</v>
      </c>
      <c r="X99" s="37" t="str">
        <f>INPUT!AH99</f>
        <v>ABS</v>
      </c>
      <c r="Y99" s="46" t="str">
        <f>INPUT!AG99</f>
        <v>ABS</v>
      </c>
      <c r="Z99" s="209">
        <f>INPUT!AI99</f>
        <v>0</v>
      </c>
      <c r="AA99" s="37" t="str">
        <f>INPUT!AK99</f>
        <v>ABS</v>
      </c>
      <c r="AB99" s="37" t="str">
        <f>INPUT!AM99</f>
        <v>ABS</v>
      </c>
      <c r="AC99" s="37" t="str">
        <f>INPUT!AO99</f>
        <v>ABS</v>
      </c>
      <c r="AD99" s="46" t="str">
        <f>INPUT!AN99</f>
        <v>ABS</v>
      </c>
      <c r="AE99" s="204">
        <f>INPUT!AP99</f>
        <v>0</v>
      </c>
      <c r="AF99" s="37" t="str">
        <f>INPUT!AR99</f>
        <v>ABS</v>
      </c>
      <c r="AG99" s="37" t="str">
        <f>INPUT!AT99</f>
        <v>ABS</v>
      </c>
      <c r="AH99" s="37" t="str">
        <f>INPUT!AV99</f>
        <v>ABS</v>
      </c>
      <c r="AI99" s="38" t="str">
        <f>INPUT!AU99</f>
        <v>ABS</v>
      </c>
      <c r="AJ99" s="40" t="str">
        <f t="shared" si="4"/>
        <v>-</v>
      </c>
      <c r="AK99" s="211">
        <f>INPUT!AX99</f>
        <v>0</v>
      </c>
      <c r="AL99" s="37" t="str">
        <f>INPUT!AZ99</f>
        <v>ABS</v>
      </c>
      <c r="AM99" s="37" t="str">
        <f>INPUT!BB99</f>
        <v>ABS</v>
      </c>
      <c r="AN99" s="37" t="str">
        <f>INPUT!BD99</f>
        <v>ABS</v>
      </c>
      <c r="AO99" s="212" t="str">
        <f>INPUT!BC99</f>
        <v>ABS</v>
      </c>
      <c r="AP99" s="41" t="str">
        <f t="shared" si="5"/>
        <v/>
      </c>
      <c r="AQ99" s="41" t="str">
        <f t="shared" si="6"/>
        <v>ABS</v>
      </c>
      <c r="AR99" s="41" t="str">
        <f t="shared" si="7"/>
        <v/>
      </c>
      <c r="AS99" s="30"/>
      <c r="AT99" s="30"/>
      <c r="AU99" s="30"/>
      <c r="AV99" s="30"/>
      <c r="AX99" s="114" t="str">
        <f>AJ99&amp;"_"&amp;COUNTIF($AJ$5:AJ99,AJ99)</f>
        <v>-_89</v>
      </c>
    </row>
    <row r="100" spans="1:50">
      <c r="A100" s="112"/>
      <c r="B100" s="44">
        <f>INPUT!F100</f>
        <v>0</v>
      </c>
      <c r="C100" s="50">
        <f>INPUT!C100</f>
        <v>0</v>
      </c>
      <c r="D100" s="130">
        <f>INPUT!D100</f>
        <v>0</v>
      </c>
      <c r="E100" s="51">
        <f>INPUT!E100</f>
        <v>0</v>
      </c>
      <c r="F100" s="39" t="str">
        <f>INPUT!G100</f>
        <v>0011</v>
      </c>
      <c r="G100" s="37" t="str">
        <f>INPUT!I100</f>
        <v>ABS</v>
      </c>
      <c r="H100" s="37" t="str">
        <f>INPUT!K100</f>
        <v>ABS</v>
      </c>
      <c r="I100" s="37" t="str">
        <f>INPUT!M100</f>
        <v>ABS</v>
      </c>
      <c r="J100" s="38" t="str">
        <f>INPUT!L100</f>
        <v>ABS</v>
      </c>
      <c r="K100" s="205" t="str">
        <f>INPUT!N100</f>
        <v>0031</v>
      </c>
      <c r="L100" s="37" t="str">
        <f>INPUT!P100</f>
        <v>ABS</v>
      </c>
      <c r="M100" s="37" t="str">
        <f>INPUT!R100</f>
        <v>ABS</v>
      </c>
      <c r="N100" s="37" t="str">
        <f>INPUT!T100</f>
        <v>ABS</v>
      </c>
      <c r="O100" s="46" t="str">
        <f>INPUT!S100</f>
        <v>ABS</v>
      </c>
      <c r="P100" s="202" t="str">
        <f>INPUT!U100</f>
        <v>0051</v>
      </c>
      <c r="Q100" s="37" t="str">
        <f>INPUT!W100</f>
        <v>ABS</v>
      </c>
      <c r="R100" s="37" t="str">
        <f>INPUT!Y100</f>
        <v>ABS</v>
      </c>
      <c r="S100" s="37" t="str">
        <f>INPUT!AA100</f>
        <v>ABS</v>
      </c>
      <c r="T100" s="38" t="str">
        <f>INPUT!Z100</f>
        <v>ABS</v>
      </c>
      <c r="U100" s="209">
        <f>INPUT!AB100</f>
        <v>0</v>
      </c>
      <c r="V100" s="37" t="str">
        <f>INPUT!AD100</f>
        <v>ABS</v>
      </c>
      <c r="W100" s="37" t="str">
        <f>INPUT!AF100</f>
        <v>ABS</v>
      </c>
      <c r="X100" s="37" t="str">
        <f>INPUT!AH100</f>
        <v>ABS</v>
      </c>
      <c r="Y100" s="46" t="str">
        <f>INPUT!AG100</f>
        <v>ABS</v>
      </c>
      <c r="Z100" s="209">
        <f>INPUT!AI100</f>
        <v>0</v>
      </c>
      <c r="AA100" s="37" t="str">
        <f>INPUT!AK100</f>
        <v>ABS</v>
      </c>
      <c r="AB100" s="37" t="str">
        <f>INPUT!AM100</f>
        <v>ABS</v>
      </c>
      <c r="AC100" s="37" t="str">
        <f>INPUT!AO100</f>
        <v>ABS</v>
      </c>
      <c r="AD100" s="46" t="str">
        <f>INPUT!AN100</f>
        <v>ABS</v>
      </c>
      <c r="AE100" s="204">
        <f>INPUT!AP100</f>
        <v>0</v>
      </c>
      <c r="AF100" s="37" t="str">
        <f>INPUT!AR100</f>
        <v>ABS</v>
      </c>
      <c r="AG100" s="37" t="str">
        <f>INPUT!AT100</f>
        <v>ABS</v>
      </c>
      <c r="AH100" s="37" t="str">
        <f>INPUT!AV100</f>
        <v>ABS</v>
      </c>
      <c r="AI100" s="38" t="str">
        <f>INPUT!AU100</f>
        <v>ABS</v>
      </c>
      <c r="AJ100" s="40" t="str">
        <f t="shared" si="4"/>
        <v>-</v>
      </c>
      <c r="AK100" s="211">
        <f>INPUT!AX100</f>
        <v>0</v>
      </c>
      <c r="AL100" s="37" t="str">
        <f>INPUT!AZ100</f>
        <v>ABS</v>
      </c>
      <c r="AM100" s="37" t="str">
        <f>INPUT!BB100</f>
        <v>ABS</v>
      </c>
      <c r="AN100" s="37" t="str">
        <f>INPUT!BD100</f>
        <v>ABS</v>
      </c>
      <c r="AO100" s="212" t="str">
        <f>INPUT!BC100</f>
        <v>ABS</v>
      </c>
      <c r="AP100" s="41" t="str">
        <f t="shared" si="5"/>
        <v/>
      </c>
      <c r="AQ100" s="41" t="str">
        <f t="shared" si="6"/>
        <v>ABS</v>
      </c>
      <c r="AR100" s="41" t="str">
        <f t="shared" si="7"/>
        <v/>
      </c>
      <c r="AS100" s="30"/>
      <c r="AT100" s="30"/>
      <c r="AU100" s="30"/>
      <c r="AV100" s="30"/>
      <c r="AX100" s="114" t="str">
        <f>AJ100&amp;"_"&amp;COUNTIF($AJ$5:AJ100,AJ100)</f>
        <v>-_90</v>
      </c>
    </row>
    <row r="101" spans="1:50">
      <c r="A101" s="112"/>
      <c r="B101" s="44">
        <f>INPUT!F101</f>
        <v>0</v>
      </c>
      <c r="C101" s="50">
        <f>INPUT!C101</f>
        <v>0</v>
      </c>
      <c r="D101" s="130">
        <f>INPUT!D101</f>
        <v>0</v>
      </c>
      <c r="E101" s="51">
        <f>INPUT!E101</f>
        <v>0</v>
      </c>
      <c r="F101" s="39" t="str">
        <f>INPUT!G101</f>
        <v>0011</v>
      </c>
      <c r="G101" s="37" t="str">
        <f>INPUT!I101</f>
        <v>ABS</v>
      </c>
      <c r="H101" s="37" t="str">
        <f>INPUT!K101</f>
        <v>ABS</v>
      </c>
      <c r="I101" s="37" t="str">
        <f>INPUT!M101</f>
        <v>ABS</v>
      </c>
      <c r="J101" s="38" t="str">
        <f>INPUT!L101</f>
        <v>ABS</v>
      </c>
      <c r="K101" s="205" t="str">
        <f>INPUT!N101</f>
        <v>0031</v>
      </c>
      <c r="L101" s="37" t="str">
        <f>INPUT!P101</f>
        <v>ABS</v>
      </c>
      <c r="M101" s="37" t="str">
        <f>INPUT!R101</f>
        <v>ABS</v>
      </c>
      <c r="N101" s="37" t="str">
        <f>INPUT!T101</f>
        <v>ABS</v>
      </c>
      <c r="O101" s="46" t="str">
        <f>INPUT!S101</f>
        <v>ABS</v>
      </c>
      <c r="P101" s="202" t="str">
        <f>INPUT!U101</f>
        <v>0051</v>
      </c>
      <c r="Q101" s="37" t="str">
        <f>INPUT!W101</f>
        <v>ABS</v>
      </c>
      <c r="R101" s="37" t="str">
        <f>INPUT!Y101</f>
        <v>ABS</v>
      </c>
      <c r="S101" s="37" t="str">
        <f>INPUT!AA101</f>
        <v>ABS</v>
      </c>
      <c r="T101" s="38" t="str">
        <f>INPUT!Z101</f>
        <v>ABS</v>
      </c>
      <c r="U101" s="209">
        <f>INPUT!AB101</f>
        <v>0</v>
      </c>
      <c r="V101" s="37" t="str">
        <f>INPUT!AD101</f>
        <v>ABS</v>
      </c>
      <c r="W101" s="37" t="str">
        <f>INPUT!AF101</f>
        <v>ABS</v>
      </c>
      <c r="X101" s="37" t="str">
        <f>INPUT!AH101</f>
        <v>ABS</v>
      </c>
      <c r="Y101" s="46" t="str">
        <f>INPUT!AG101</f>
        <v>ABS</v>
      </c>
      <c r="Z101" s="209">
        <f>INPUT!AI101</f>
        <v>0</v>
      </c>
      <c r="AA101" s="37" t="str">
        <f>INPUT!AK101</f>
        <v>ABS</v>
      </c>
      <c r="AB101" s="37" t="str">
        <f>INPUT!AM101</f>
        <v>ABS</v>
      </c>
      <c r="AC101" s="37" t="str">
        <f>INPUT!AO101</f>
        <v>ABS</v>
      </c>
      <c r="AD101" s="46" t="str">
        <f>INPUT!AN101</f>
        <v>ABS</v>
      </c>
      <c r="AE101" s="204">
        <f>INPUT!AP101</f>
        <v>0</v>
      </c>
      <c r="AF101" s="37" t="str">
        <f>INPUT!AR101</f>
        <v>ABS</v>
      </c>
      <c r="AG101" s="37" t="str">
        <f>INPUT!AT101</f>
        <v>ABS</v>
      </c>
      <c r="AH101" s="37" t="str">
        <f>INPUT!AV101</f>
        <v>ABS</v>
      </c>
      <c r="AI101" s="38" t="str">
        <f>INPUT!AU101</f>
        <v>ABS</v>
      </c>
      <c r="AJ101" s="40" t="str">
        <f t="shared" si="4"/>
        <v>-</v>
      </c>
      <c r="AK101" s="211">
        <f>INPUT!AX101</f>
        <v>0</v>
      </c>
      <c r="AL101" s="37" t="str">
        <f>INPUT!AZ101</f>
        <v>ABS</v>
      </c>
      <c r="AM101" s="37" t="str">
        <f>INPUT!BB101</f>
        <v>ABS</v>
      </c>
      <c r="AN101" s="37" t="str">
        <f>INPUT!BD101</f>
        <v>ABS</v>
      </c>
      <c r="AO101" s="212" t="str">
        <f>INPUT!BC101</f>
        <v>ABS</v>
      </c>
      <c r="AP101" s="41" t="str">
        <f t="shared" si="5"/>
        <v/>
      </c>
      <c r="AQ101" s="41" t="str">
        <f t="shared" si="6"/>
        <v>ABS</v>
      </c>
      <c r="AR101" s="41" t="str">
        <f t="shared" si="7"/>
        <v/>
      </c>
      <c r="AS101" s="30"/>
      <c r="AT101" s="30"/>
      <c r="AU101" s="30"/>
      <c r="AV101" s="30"/>
      <c r="AX101" s="114" t="str">
        <f>AJ101&amp;"_"&amp;COUNTIF($AJ$5:AJ101,AJ101)</f>
        <v>-_91</v>
      </c>
    </row>
    <row r="102" spans="1:50">
      <c r="A102" s="112"/>
      <c r="B102" s="44">
        <f>INPUT!F102</f>
        <v>0</v>
      </c>
      <c r="C102" s="50">
        <f>INPUT!C102</f>
        <v>0</v>
      </c>
      <c r="D102" s="130">
        <f>INPUT!D102</f>
        <v>0</v>
      </c>
      <c r="E102" s="51">
        <f>INPUT!E102</f>
        <v>0</v>
      </c>
      <c r="F102" s="39" t="str">
        <f>INPUT!G102</f>
        <v>0011</v>
      </c>
      <c r="G102" s="37" t="str">
        <f>INPUT!I102</f>
        <v>ABS</v>
      </c>
      <c r="H102" s="37" t="str">
        <f>INPUT!K102</f>
        <v>ABS</v>
      </c>
      <c r="I102" s="37" t="str">
        <f>INPUT!M102</f>
        <v>ABS</v>
      </c>
      <c r="J102" s="38" t="str">
        <f>INPUT!L102</f>
        <v>ABS</v>
      </c>
      <c r="K102" s="205" t="str">
        <f>INPUT!N102</f>
        <v>0031</v>
      </c>
      <c r="L102" s="37" t="str">
        <f>INPUT!P102</f>
        <v>ABS</v>
      </c>
      <c r="M102" s="37" t="str">
        <f>INPUT!R102</f>
        <v>ABS</v>
      </c>
      <c r="N102" s="37" t="str">
        <f>INPUT!T102</f>
        <v>ABS</v>
      </c>
      <c r="O102" s="46" t="str">
        <f>INPUT!S102</f>
        <v>ABS</v>
      </c>
      <c r="P102" s="202" t="str">
        <f>INPUT!U102</f>
        <v>0051</v>
      </c>
      <c r="Q102" s="37" t="str">
        <f>INPUT!W102</f>
        <v>ABS</v>
      </c>
      <c r="R102" s="37" t="str">
        <f>INPUT!Y102</f>
        <v>ABS</v>
      </c>
      <c r="S102" s="37" t="str">
        <f>INPUT!AA102</f>
        <v>ABS</v>
      </c>
      <c r="T102" s="38" t="str">
        <f>INPUT!Z102</f>
        <v>ABS</v>
      </c>
      <c r="U102" s="209">
        <f>INPUT!AB102</f>
        <v>0</v>
      </c>
      <c r="V102" s="37" t="str">
        <f>INPUT!AD102</f>
        <v>ABS</v>
      </c>
      <c r="W102" s="37" t="str">
        <f>INPUT!AF102</f>
        <v>ABS</v>
      </c>
      <c r="X102" s="37" t="str">
        <f>INPUT!AH102</f>
        <v>ABS</v>
      </c>
      <c r="Y102" s="46" t="str">
        <f>INPUT!AG102</f>
        <v>ABS</v>
      </c>
      <c r="Z102" s="209">
        <f>INPUT!AI102</f>
        <v>0</v>
      </c>
      <c r="AA102" s="37" t="str">
        <f>INPUT!AK102</f>
        <v>ABS</v>
      </c>
      <c r="AB102" s="37" t="str">
        <f>INPUT!AM102</f>
        <v>ABS</v>
      </c>
      <c r="AC102" s="37" t="str">
        <f>INPUT!AO102</f>
        <v>ABS</v>
      </c>
      <c r="AD102" s="46" t="str">
        <f>INPUT!AN102</f>
        <v>ABS</v>
      </c>
      <c r="AE102" s="204">
        <f>INPUT!AP102</f>
        <v>0</v>
      </c>
      <c r="AF102" s="37" t="str">
        <f>INPUT!AR102</f>
        <v>ABS</v>
      </c>
      <c r="AG102" s="37" t="str">
        <f>INPUT!AT102</f>
        <v>ABS</v>
      </c>
      <c r="AH102" s="37" t="str">
        <f>INPUT!AV102</f>
        <v>ABS</v>
      </c>
      <c r="AI102" s="38" t="str">
        <f>INPUT!AU102</f>
        <v>ABS</v>
      </c>
      <c r="AJ102" s="40" t="str">
        <f t="shared" si="4"/>
        <v>-</v>
      </c>
      <c r="AK102" s="211">
        <f>INPUT!AX102</f>
        <v>0</v>
      </c>
      <c r="AL102" s="37" t="str">
        <f>INPUT!AZ102</f>
        <v>ABS</v>
      </c>
      <c r="AM102" s="37" t="str">
        <f>INPUT!BB102</f>
        <v>ABS</v>
      </c>
      <c r="AN102" s="37" t="str">
        <f>INPUT!BD102</f>
        <v>ABS</v>
      </c>
      <c r="AO102" s="212" t="str">
        <f>INPUT!BC102</f>
        <v>ABS</v>
      </c>
      <c r="AP102" s="41" t="str">
        <f t="shared" si="5"/>
        <v/>
      </c>
      <c r="AQ102" s="41" t="str">
        <f t="shared" si="6"/>
        <v>ABS</v>
      </c>
      <c r="AR102" s="41" t="str">
        <f t="shared" si="7"/>
        <v/>
      </c>
      <c r="AS102" s="30"/>
      <c r="AT102" s="30"/>
      <c r="AU102" s="30"/>
      <c r="AV102" s="30"/>
      <c r="AX102" s="114" t="str">
        <f>AJ102&amp;"_"&amp;COUNTIF($AJ$5:AJ102,AJ102)</f>
        <v>-_92</v>
      </c>
    </row>
    <row r="103" spans="1:50">
      <c r="A103" s="112"/>
      <c r="B103" s="44">
        <f>INPUT!F103</f>
        <v>0</v>
      </c>
      <c r="C103" s="50">
        <f>INPUT!C103</f>
        <v>0</v>
      </c>
      <c r="D103" s="130">
        <f>INPUT!D103</f>
        <v>0</v>
      </c>
      <c r="E103" s="51">
        <f>INPUT!E103</f>
        <v>0</v>
      </c>
      <c r="F103" s="39" t="str">
        <f>INPUT!G103</f>
        <v>0011</v>
      </c>
      <c r="G103" s="37" t="str">
        <f>INPUT!I103</f>
        <v>ABS</v>
      </c>
      <c r="H103" s="37" t="str">
        <f>INPUT!K103</f>
        <v>ABS</v>
      </c>
      <c r="I103" s="37" t="str">
        <f>INPUT!M103</f>
        <v>ABS</v>
      </c>
      <c r="J103" s="38" t="str">
        <f>INPUT!L103</f>
        <v>ABS</v>
      </c>
      <c r="K103" s="205" t="str">
        <f>INPUT!N103</f>
        <v>0031</v>
      </c>
      <c r="L103" s="37" t="str">
        <f>INPUT!P103</f>
        <v>ABS</v>
      </c>
      <c r="M103" s="37" t="str">
        <f>INPUT!R103</f>
        <v>ABS</v>
      </c>
      <c r="N103" s="37" t="str">
        <f>INPUT!T103</f>
        <v>ABS</v>
      </c>
      <c r="O103" s="46" t="str">
        <f>INPUT!S103</f>
        <v>ABS</v>
      </c>
      <c r="P103" s="202" t="str">
        <f>INPUT!U103</f>
        <v>0051</v>
      </c>
      <c r="Q103" s="37" t="str">
        <f>INPUT!W103</f>
        <v>ABS</v>
      </c>
      <c r="R103" s="37" t="str">
        <f>INPUT!Y103</f>
        <v>ABS</v>
      </c>
      <c r="S103" s="37" t="str">
        <f>INPUT!AA103</f>
        <v>ABS</v>
      </c>
      <c r="T103" s="38" t="str">
        <f>INPUT!Z103</f>
        <v>ABS</v>
      </c>
      <c r="U103" s="209">
        <f>INPUT!AB103</f>
        <v>0</v>
      </c>
      <c r="V103" s="37" t="str">
        <f>INPUT!AD103</f>
        <v>ABS</v>
      </c>
      <c r="W103" s="37" t="str">
        <f>INPUT!AF103</f>
        <v>ABS</v>
      </c>
      <c r="X103" s="37" t="str">
        <f>INPUT!AH103</f>
        <v>ABS</v>
      </c>
      <c r="Y103" s="46" t="str">
        <f>INPUT!AG103</f>
        <v>ABS</v>
      </c>
      <c r="Z103" s="209">
        <f>INPUT!AI103</f>
        <v>0</v>
      </c>
      <c r="AA103" s="37" t="str">
        <f>INPUT!AK103</f>
        <v>ABS</v>
      </c>
      <c r="AB103" s="37" t="str">
        <f>INPUT!AM103</f>
        <v>ABS</v>
      </c>
      <c r="AC103" s="37" t="str">
        <f>INPUT!AO103</f>
        <v>ABS</v>
      </c>
      <c r="AD103" s="46" t="str">
        <f>INPUT!AN103</f>
        <v>ABS</v>
      </c>
      <c r="AE103" s="204">
        <f>INPUT!AP103</f>
        <v>0</v>
      </c>
      <c r="AF103" s="37" t="str">
        <f>INPUT!AR103</f>
        <v>ABS</v>
      </c>
      <c r="AG103" s="37" t="str">
        <f>INPUT!AT103</f>
        <v>ABS</v>
      </c>
      <c r="AH103" s="37" t="str">
        <f>INPUT!AV103</f>
        <v>ABS</v>
      </c>
      <c r="AI103" s="38" t="str">
        <f>INPUT!AU103</f>
        <v>ABS</v>
      </c>
      <c r="AJ103" s="40" t="str">
        <f t="shared" si="4"/>
        <v>-</v>
      </c>
      <c r="AK103" s="211">
        <f>INPUT!AX103</f>
        <v>0</v>
      </c>
      <c r="AL103" s="37" t="str">
        <f>INPUT!AZ103</f>
        <v>ABS</v>
      </c>
      <c r="AM103" s="37" t="str">
        <f>INPUT!BB103</f>
        <v>ABS</v>
      </c>
      <c r="AN103" s="37" t="str">
        <f>INPUT!BD103</f>
        <v>ABS</v>
      </c>
      <c r="AO103" s="212" t="str">
        <f>INPUT!BC103</f>
        <v>ABS</v>
      </c>
      <c r="AP103" s="41" t="str">
        <f t="shared" si="5"/>
        <v/>
      </c>
      <c r="AQ103" s="41" t="str">
        <f t="shared" si="6"/>
        <v>ABS</v>
      </c>
      <c r="AR103" s="41" t="str">
        <f t="shared" si="7"/>
        <v/>
      </c>
      <c r="AS103" s="30"/>
      <c r="AT103" s="30"/>
      <c r="AU103" s="30"/>
      <c r="AV103" s="30"/>
      <c r="AX103" s="114" t="str">
        <f>AJ103&amp;"_"&amp;COUNTIF($AJ$5:AJ103,AJ103)</f>
        <v>-_93</v>
      </c>
    </row>
    <row r="104" spans="1:50">
      <c r="A104" s="112"/>
      <c r="B104" s="44">
        <f>INPUT!F104</f>
        <v>0</v>
      </c>
      <c r="C104" s="50">
        <f>INPUT!C104</f>
        <v>0</v>
      </c>
      <c r="D104" s="130">
        <f>INPUT!D104</f>
        <v>0</v>
      </c>
      <c r="E104" s="51">
        <f>INPUT!E104</f>
        <v>0</v>
      </c>
      <c r="F104" s="39" t="str">
        <f>INPUT!G104</f>
        <v>0011</v>
      </c>
      <c r="G104" s="37" t="str">
        <f>INPUT!I104</f>
        <v>2.0</v>
      </c>
      <c r="H104" s="37" t="str">
        <f>INPUT!K104</f>
        <v>ABS</v>
      </c>
      <c r="I104" s="37" t="str">
        <f>INPUT!M104</f>
        <v>NG</v>
      </c>
      <c r="J104" s="38" t="str">
        <f>INPUT!L104</f>
        <v>NG</v>
      </c>
      <c r="K104" s="205" t="str">
        <f>INPUT!N104</f>
        <v>0031</v>
      </c>
      <c r="L104" s="37" t="str">
        <f>INPUT!P104</f>
        <v>ABS</v>
      </c>
      <c r="M104" s="37" t="str">
        <f>INPUT!R104</f>
        <v>ABS</v>
      </c>
      <c r="N104" s="37" t="str">
        <f>INPUT!T104</f>
        <v>ABS</v>
      </c>
      <c r="O104" s="46" t="str">
        <f>INPUT!S104</f>
        <v>ABS</v>
      </c>
      <c r="P104" s="202" t="str">
        <f>INPUT!U104</f>
        <v>0051</v>
      </c>
      <c r="Q104" s="37" t="str">
        <f>INPUT!W104</f>
        <v>3.2</v>
      </c>
      <c r="R104" s="37" t="str">
        <f>INPUT!Y104</f>
        <v>4.0</v>
      </c>
      <c r="S104" s="37" t="str">
        <f>INPUT!AA104</f>
        <v>A</v>
      </c>
      <c r="T104" s="38">
        <f>INPUT!Z104</f>
        <v>3.4</v>
      </c>
      <c r="U104" s="209">
        <f>INPUT!AB104</f>
        <v>0</v>
      </c>
      <c r="V104" s="37" t="str">
        <f>INPUT!AD104</f>
        <v>ABS</v>
      </c>
      <c r="W104" s="37" t="str">
        <f>INPUT!AF104</f>
        <v>ABS</v>
      </c>
      <c r="X104" s="37" t="str">
        <f>INPUT!AH104</f>
        <v>ABS</v>
      </c>
      <c r="Y104" s="46" t="str">
        <f>INPUT!AG104</f>
        <v>ABS</v>
      </c>
      <c r="Z104" s="209">
        <f>INPUT!AI104</f>
        <v>0</v>
      </c>
      <c r="AA104" s="37" t="str">
        <f>INPUT!AK104</f>
        <v>ABS</v>
      </c>
      <c r="AB104" s="37" t="str">
        <f>INPUT!AM104</f>
        <v>ABS</v>
      </c>
      <c r="AC104" s="37" t="str">
        <f>INPUT!AO104</f>
        <v>ABS</v>
      </c>
      <c r="AD104" s="46" t="str">
        <f>INPUT!AN104</f>
        <v>ABS</v>
      </c>
      <c r="AE104" s="204">
        <f>INPUT!AP104</f>
        <v>0</v>
      </c>
      <c r="AF104" s="37" t="str">
        <f>INPUT!AR104</f>
        <v>ABS</v>
      </c>
      <c r="AG104" s="37" t="str">
        <f>INPUT!AT104</f>
        <v>ABS</v>
      </c>
      <c r="AH104" s="37" t="str">
        <f>INPUT!AV104</f>
        <v>ABS</v>
      </c>
      <c r="AI104" s="38" t="str">
        <f>INPUT!AU104</f>
        <v>ABS</v>
      </c>
      <c r="AJ104" s="40" t="str">
        <f t="shared" si="4"/>
        <v>-</v>
      </c>
      <c r="AK104" s="211">
        <f>INPUT!AX104</f>
        <v>0</v>
      </c>
      <c r="AL104" s="37" t="str">
        <f>INPUT!AZ104</f>
        <v>ABS</v>
      </c>
      <c r="AM104" s="37" t="str">
        <f>INPUT!BB104</f>
        <v>ABS</v>
      </c>
      <c r="AN104" s="37" t="str">
        <f>INPUT!BD104</f>
        <v>ABS</v>
      </c>
      <c r="AO104" s="212" t="str">
        <f>INPUT!BC104</f>
        <v>ABS</v>
      </c>
      <c r="AP104" s="41" t="str">
        <f t="shared" si="5"/>
        <v>NG</v>
      </c>
      <c r="AQ104" s="41" t="str">
        <f t="shared" si="6"/>
        <v>ABS</v>
      </c>
      <c r="AR104" s="41" t="str">
        <f t="shared" si="7"/>
        <v>W</v>
      </c>
      <c r="AS104" s="30"/>
      <c r="AT104" s="30"/>
      <c r="AU104" s="30"/>
      <c r="AV104" s="30"/>
      <c r="AX104" s="114" t="str">
        <f>AJ104&amp;"_"&amp;COUNTIF($AJ$5:AJ104,AJ104)</f>
        <v>-_94</v>
      </c>
    </row>
    <row r="105" spans="1:50">
      <c r="A105" s="112"/>
      <c r="B105" s="44">
        <f>INPUT!F105</f>
        <v>0</v>
      </c>
      <c r="C105" s="50">
        <f>INPUT!C105</f>
        <v>0</v>
      </c>
      <c r="D105" s="130">
        <f>INPUT!D105</f>
        <v>0</v>
      </c>
      <c r="E105" s="51">
        <f>INPUT!E105</f>
        <v>0</v>
      </c>
      <c r="F105" s="39" t="str">
        <f>INPUT!G105</f>
        <v>0011</v>
      </c>
      <c r="G105" s="37" t="str">
        <f>INPUT!I105</f>
        <v>ABS</v>
      </c>
      <c r="H105" s="37" t="str">
        <f>INPUT!K105</f>
        <v>ABS</v>
      </c>
      <c r="I105" s="37" t="str">
        <f>INPUT!M105</f>
        <v>ABS</v>
      </c>
      <c r="J105" s="38" t="str">
        <f>INPUT!L105</f>
        <v>ABS</v>
      </c>
      <c r="K105" s="205" t="str">
        <f>INPUT!N105</f>
        <v>0031</v>
      </c>
      <c r="L105" s="37" t="str">
        <f>INPUT!P105</f>
        <v>ABS</v>
      </c>
      <c r="M105" s="37" t="str">
        <f>INPUT!R105</f>
        <v>ABS</v>
      </c>
      <c r="N105" s="37" t="str">
        <f>INPUT!T105</f>
        <v>ABS</v>
      </c>
      <c r="O105" s="46" t="str">
        <f>INPUT!S105</f>
        <v>ABS</v>
      </c>
      <c r="P105" s="202" t="str">
        <f>INPUT!U105</f>
        <v>0051</v>
      </c>
      <c r="Q105" s="37" t="str">
        <f>INPUT!W105</f>
        <v>2.8</v>
      </c>
      <c r="R105" s="37" t="str">
        <f>INPUT!Y105</f>
        <v>ABS</v>
      </c>
      <c r="S105" s="37" t="str">
        <f>INPUT!AA105</f>
        <v>NG</v>
      </c>
      <c r="T105" s="38" t="str">
        <f>INPUT!Z105</f>
        <v>NG</v>
      </c>
      <c r="U105" s="209">
        <f>INPUT!AB105</f>
        <v>0</v>
      </c>
      <c r="V105" s="37" t="str">
        <f>INPUT!AD105</f>
        <v>ABS</v>
      </c>
      <c r="W105" s="37" t="str">
        <f>INPUT!AF105</f>
        <v>ABS</v>
      </c>
      <c r="X105" s="37" t="str">
        <f>INPUT!AH105</f>
        <v>ABS</v>
      </c>
      <c r="Y105" s="46" t="str">
        <f>INPUT!AG105</f>
        <v>ABS</v>
      </c>
      <c r="Z105" s="209">
        <f>INPUT!AI105</f>
        <v>0</v>
      </c>
      <c r="AA105" s="37" t="str">
        <f>INPUT!AK105</f>
        <v>ABS</v>
      </c>
      <c r="AB105" s="37" t="str">
        <f>INPUT!AM105</f>
        <v>ABS</v>
      </c>
      <c r="AC105" s="37" t="str">
        <f>INPUT!AO105</f>
        <v>ABS</v>
      </c>
      <c r="AD105" s="46" t="str">
        <f>INPUT!AN105</f>
        <v>ABS</v>
      </c>
      <c r="AE105" s="204">
        <f>INPUT!AP105</f>
        <v>0</v>
      </c>
      <c r="AF105" s="37" t="str">
        <f>INPUT!AR105</f>
        <v>ABS</v>
      </c>
      <c r="AG105" s="37" t="str">
        <f>INPUT!AT105</f>
        <v>ABS</v>
      </c>
      <c r="AH105" s="37" t="str">
        <f>INPUT!AV105</f>
        <v>ABS</v>
      </c>
      <c r="AI105" s="38" t="str">
        <f>INPUT!AU105</f>
        <v>ABS</v>
      </c>
      <c r="AJ105" s="40" t="str">
        <f t="shared" si="4"/>
        <v>-</v>
      </c>
      <c r="AK105" s="211">
        <f>INPUT!AX105</f>
        <v>0</v>
      </c>
      <c r="AL105" s="37" t="str">
        <f>INPUT!AZ105</f>
        <v>ABS</v>
      </c>
      <c r="AM105" s="37" t="str">
        <f>INPUT!BB105</f>
        <v>ABS</v>
      </c>
      <c r="AN105" s="37" t="str">
        <f>INPUT!BD105</f>
        <v>ABS</v>
      </c>
      <c r="AO105" s="212" t="str">
        <f>INPUT!BC105</f>
        <v>ABS</v>
      </c>
      <c r="AP105" s="41" t="str">
        <f t="shared" si="5"/>
        <v>NG</v>
      </c>
      <c r="AQ105" s="41" t="str">
        <f t="shared" si="6"/>
        <v>ABS</v>
      </c>
      <c r="AR105" s="41" t="str">
        <f t="shared" si="7"/>
        <v>W</v>
      </c>
      <c r="AS105" s="30"/>
      <c r="AT105" s="30"/>
      <c r="AU105" s="30"/>
      <c r="AV105" s="30"/>
      <c r="AX105" s="114" t="str">
        <f>AJ105&amp;"_"&amp;COUNTIF($AJ$5:AJ105,AJ105)</f>
        <v>-_95</v>
      </c>
    </row>
    <row r="106" spans="1:50">
      <c r="A106" s="112"/>
      <c r="B106" s="44">
        <f>INPUT!F106</f>
        <v>0</v>
      </c>
      <c r="C106" s="50">
        <f>INPUT!C106</f>
        <v>0</v>
      </c>
      <c r="D106" s="130">
        <f>INPUT!D106</f>
        <v>0</v>
      </c>
      <c r="E106" s="51">
        <f>INPUT!E106</f>
        <v>0</v>
      </c>
      <c r="F106" s="39" t="str">
        <f>INPUT!G106</f>
        <v>0011</v>
      </c>
      <c r="G106" s="37" t="str">
        <f>INPUT!I106</f>
        <v>ABS</v>
      </c>
      <c r="H106" s="37" t="str">
        <f>INPUT!K106</f>
        <v>ABS</v>
      </c>
      <c r="I106" s="37" t="str">
        <f>INPUT!M106</f>
        <v>ABS</v>
      </c>
      <c r="J106" s="38" t="str">
        <f>INPUT!L106</f>
        <v>ABS</v>
      </c>
      <c r="K106" s="205" t="str">
        <f>INPUT!N106</f>
        <v>0031</v>
      </c>
      <c r="L106" s="37" t="str">
        <f>INPUT!P106</f>
        <v>ABS</v>
      </c>
      <c r="M106" s="37" t="str">
        <f>INPUT!R106</f>
        <v>ABS</v>
      </c>
      <c r="N106" s="37" t="str">
        <f>INPUT!T106</f>
        <v>ABS</v>
      </c>
      <c r="O106" s="46" t="str">
        <f>INPUT!S106</f>
        <v>ABS</v>
      </c>
      <c r="P106" s="202" t="str">
        <f>INPUT!U106</f>
        <v>0051</v>
      </c>
      <c r="Q106" s="37" t="str">
        <f>INPUT!W106</f>
        <v>ABS</v>
      </c>
      <c r="R106" s="37" t="str">
        <f>INPUT!Y106</f>
        <v>ABS</v>
      </c>
      <c r="S106" s="37" t="str">
        <f>INPUT!AA106</f>
        <v>ABS</v>
      </c>
      <c r="T106" s="38" t="str">
        <f>INPUT!Z106</f>
        <v>ABS</v>
      </c>
      <c r="U106" s="209">
        <f>INPUT!AB106</f>
        <v>0</v>
      </c>
      <c r="V106" s="37" t="str">
        <f>INPUT!AD106</f>
        <v>ABS</v>
      </c>
      <c r="W106" s="37" t="str">
        <f>INPUT!AF106</f>
        <v>ABS</v>
      </c>
      <c r="X106" s="37" t="str">
        <f>INPUT!AH106</f>
        <v>ABS</v>
      </c>
      <c r="Y106" s="46" t="str">
        <f>INPUT!AG106</f>
        <v>ABS</v>
      </c>
      <c r="Z106" s="209">
        <f>INPUT!AI106</f>
        <v>0</v>
      </c>
      <c r="AA106" s="37" t="str">
        <f>INPUT!AK106</f>
        <v>ABS</v>
      </c>
      <c r="AB106" s="37" t="str">
        <f>INPUT!AM106</f>
        <v>ABS</v>
      </c>
      <c r="AC106" s="37" t="str">
        <f>INPUT!AO106</f>
        <v>ABS</v>
      </c>
      <c r="AD106" s="46" t="str">
        <f>INPUT!AN106</f>
        <v>ABS</v>
      </c>
      <c r="AE106" s="204">
        <f>INPUT!AP106</f>
        <v>0</v>
      </c>
      <c r="AF106" s="37" t="str">
        <f>INPUT!AR106</f>
        <v>ABS</v>
      </c>
      <c r="AG106" s="37" t="str">
        <f>INPUT!AT106</f>
        <v>ABS</v>
      </c>
      <c r="AH106" s="37" t="str">
        <f>INPUT!AV106</f>
        <v>ABS</v>
      </c>
      <c r="AI106" s="38" t="str">
        <f>INPUT!AU106</f>
        <v>ABS</v>
      </c>
      <c r="AJ106" s="40" t="str">
        <f t="shared" si="4"/>
        <v>-</v>
      </c>
      <c r="AK106" s="211">
        <f>INPUT!AX106</f>
        <v>0</v>
      </c>
      <c r="AL106" s="37" t="str">
        <f>INPUT!AZ106</f>
        <v>ABS</v>
      </c>
      <c r="AM106" s="37" t="str">
        <f>INPUT!BB106</f>
        <v>ABS</v>
      </c>
      <c r="AN106" s="37" t="str">
        <f>INPUT!BD106</f>
        <v>ABS</v>
      </c>
      <c r="AO106" s="212" t="str">
        <f>INPUT!BC106</f>
        <v>ABS</v>
      </c>
      <c r="AP106" s="41" t="str">
        <f t="shared" si="5"/>
        <v/>
      </c>
      <c r="AQ106" s="41" t="str">
        <f t="shared" si="6"/>
        <v>ABS</v>
      </c>
      <c r="AR106" s="41" t="str">
        <f t="shared" si="7"/>
        <v/>
      </c>
      <c r="AS106" s="30"/>
      <c r="AT106" s="30"/>
      <c r="AU106" s="30"/>
      <c r="AV106" s="30"/>
      <c r="AX106" s="114" t="str">
        <f>AJ106&amp;"_"&amp;COUNTIF($AJ$5:AJ106,AJ106)</f>
        <v>-_96</v>
      </c>
    </row>
    <row r="107" spans="1:50">
      <c r="A107" s="112"/>
      <c r="B107" s="44">
        <f>INPUT!F107</f>
        <v>0</v>
      </c>
      <c r="C107" s="50">
        <f>INPUT!C107</f>
        <v>0</v>
      </c>
      <c r="D107" s="130">
        <f>INPUT!D107</f>
        <v>0</v>
      </c>
      <c r="E107" s="51">
        <f>INPUT!E107</f>
        <v>0</v>
      </c>
      <c r="F107" s="39" t="str">
        <f>INPUT!G107</f>
        <v>0011</v>
      </c>
      <c r="G107" s="37" t="str">
        <f>INPUT!I107</f>
        <v>ABS</v>
      </c>
      <c r="H107" s="37" t="str">
        <f>INPUT!K107</f>
        <v>ABS</v>
      </c>
      <c r="I107" s="37" t="str">
        <f>INPUT!M107</f>
        <v>ABS</v>
      </c>
      <c r="J107" s="38" t="str">
        <f>INPUT!L107</f>
        <v>ABS</v>
      </c>
      <c r="K107" s="205" t="str">
        <f>INPUT!N107</f>
        <v>0031</v>
      </c>
      <c r="L107" s="37" t="str">
        <f>INPUT!P107</f>
        <v>ABS</v>
      </c>
      <c r="M107" s="37" t="str">
        <f>INPUT!R107</f>
        <v>ABS</v>
      </c>
      <c r="N107" s="37" t="str">
        <f>INPUT!T107</f>
        <v>ABS</v>
      </c>
      <c r="O107" s="46" t="str">
        <f>INPUT!S107</f>
        <v>ABS</v>
      </c>
      <c r="P107" s="202" t="str">
        <f>INPUT!U107</f>
        <v>0051</v>
      </c>
      <c r="Q107" s="37" t="str">
        <f>INPUT!W107</f>
        <v>ABS</v>
      </c>
      <c r="R107" s="37" t="str">
        <f>INPUT!Y107</f>
        <v>ABS</v>
      </c>
      <c r="S107" s="37" t="str">
        <f>INPUT!AA107</f>
        <v>ABS</v>
      </c>
      <c r="T107" s="38" t="str">
        <f>INPUT!Z107</f>
        <v>ABS</v>
      </c>
      <c r="U107" s="209">
        <f>INPUT!AB107</f>
        <v>0</v>
      </c>
      <c r="V107" s="37" t="str">
        <f>INPUT!AD107</f>
        <v>ABS</v>
      </c>
      <c r="W107" s="37" t="str">
        <f>INPUT!AF107</f>
        <v>ABS</v>
      </c>
      <c r="X107" s="37" t="str">
        <f>INPUT!AH107</f>
        <v>ABS</v>
      </c>
      <c r="Y107" s="46" t="str">
        <f>INPUT!AG107</f>
        <v>ABS</v>
      </c>
      <c r="Z107" s="209">
        <f>INPUT!AI107</f>
        <v>0</v>
      </c>
      <c r="AA107" s="37" t="str">
        <f>INPUT!AK107</f>
        <v>ABS</v>
      </c>
      <c r="AB107" s="37" t="str">
        <f>INPUT!AM107</f>
        <v>ABS</v>
      </c>
      <c r="AC107" s="37" t="str">
        <f>INPUT!AO107</f>
        <v>ABS</v>
      </c>
      <c r="AD107" s="46" t="str">
        <f>INPUT!AN107</f>
        <v>ABS</v>
      </c>
      <c r="AE107" s="204">
        <f>INPUT!AP107</f>
        <v>0</v>
      </c>
      <c r="AF107" s="37" t="str">
        <f>INPUT!AR107</f>
        <v>ABS</v>
      </c>
      <c r="AG107" s="37" t="str">
        <f>INPUT!AT107</f>
        <v>ABS</v>
      </c>
      <c r="AH107" s="37" t="str">
        <f>INPUT!AV107</f>
        <v>ABS</v>
      </c>
      <c r="AI107" s="38" t="str">
        <f>INPUT!AU107</f>
        <v>ABS</v>
      </c>
      <c r="AJ107" s="40" t="str">
        <f t="shared" si="4"/>
        <v>-</v>
      </c>
      <c r="AK107" s="211">
        <f>INPUT!AX107</f>
        <v>0</v>
      </c>
      <c r="AL107" s="37" t="str">
        <f>INPUT!AZ107</f>
        <v>ABS</v>
      </c>
      <c r="AM107" s="37" t="str">
        <f>INPUT!BB107</f>
        <v>ABS</v>
      </c>
      <c r="AN107" s="37" t="str">
        <f>INPUT!BD107</f>
        <v>ABS</v>
      </c>
      <c r="AO107" s="212" t="str">
        <f>INPUT!BC107</f>
        <v>ABS</v>
      </c>
      <c r="AP107" s="41" t="str">
        <f t="shared" si="5"/>
        <v/>
      </c>
      <c r="AQ107" s="41" t="str">
        <f t="shared" si="6"/>
        <v>ABS</v>
      </c>
      <c r="AR107" s="41" t="str">
        <f t="shared" si="7"/>
        <v/>
      </c>
      <c r="AS107" s="30"/>
      <c r="AT107" s="30"/>
      <c r="AU107" s="30"/>
      <c r="AV107" s="30"/>
      <c r="AX107" s="114" t="str">
        <f>AJ107&amp;"_"&amp;COUNTIF($AJ$5:AJ107,AJ107)</f>
        <v>-_97</v>
      </c>
    </row>
    <row r="108" spans="1:50">
      <c r="A108" s="112"/>
      <c r="B108" s="44">
        <f>INPUT!F108</f>
        <v>0</v>
      </c>
      <c r="C108" s="50">
        <f>INPUT!C108</f>
        <v>0</v>
      </c>
      <c r="D108" s="130">
        <f>INPUT!D108</f>
        <v>0</v>
      </c>
      <c r="E108" s="51">
        <f>INPUT!E108</f>
        <v>0</v>
      </c>
      <c r="F108" s="39" t="str">
        <f>INPUT!G108</f>
        <v>0011</v>
      </c>
      <c r="G108" s="37" t="str">
        <f>INPUT!I108</f>
        <v>ABS</v>
      </c>
      <c r="H108" s="37" t="str">
        <f>INPUT!K108</f>
        <v>ABS</v>
      </c>
      <c r="I108" s="37" t="str">
        <f>INPUT!M108</f>
        <v>ABS</v>
      </c>
      <c r="J108" s="38" t="str">
        <f>INPUT!L108</f>
        <v>ABS</v>
      </c>
      <c r="K108" s="205" t="str">
        <f>INPUT!N108</f>
        <v>0031</v>
      </c>
      <c r="L108" s="37" t="str">
        <f>INPUT!P108</f>
        <v>ABS</v>
      </c>
      <c r="M108" s="37" t="str">
        <f>INPUT!R108</f>
        <v>ABS</v>
      </c>
      <c r="N108" s="37" t="str">
        <f>INPUT!T108</f>
        <v>ABS</v>
      </c>
      <c r="O108" s="46" t="str">
        <f>INPUT!S108</f>
        <v>ABS</v>
      </c>
      <c r="P108" s="202" t="str">
        <f>INPUT!U108</f>
        <v>0051</v>
      </c>
      <c r="Q108" s="37" t="str">
        <f>INPUT!W108</f>
        <v>ABS</v>
      </c>
      <c r="R108" s="37" t="str">
        <f>INPUT!Y108</f>
        <v>ABS</v>
      </c>
      <c r="S108" s="37" t="str">
        <f>INPUT!AA108</f>
        <v>ABS</v>
      </c>
      <c r="T108" s="38" t="str">
        <f>INPUT!Z108</f>
        <v>ABS</v>
      </c>
      <c r="U108" s="209">
        <f>INPUT!AB108</f>
        <v>0</v>
      </c>
      <c r="V108" s="37" t="str">
        <f>INPUT!AD108</f>
        <v>ABS</v>
      </c>
      <c r="W108" s="37" t="str">
        <f>INPUT!AF108</f>
        <v>ABS</v>
      </c>
      <c r="X108" s="37" t="str">
        <f>INPUT!AH108</f>
        <v>ABS</v>
      </c>
      <c r="Y108" s="46" t="str">
        <f>INPUT!AG108</f>
        <v>ABS</v>
      </c>
      <c r="Z108" s="209">
        <f>INPUT!AI108</f>
        <v>0</v>
      </c>
      <c r="AA108" s="37" t="str">
        <f>INPUT!AK108</f>
        <v>ABS</v>
      </c>
      <c r="AB108" s="37" t="str">
        <f>INPUT!AM108</f>
        <v>ABS</v>
      </c>
      <c r="AC108" s="37" t="str">
        <f>INPUT!AO108</f>
        <v>ABS</v>
      </c>
      <c r="AD108" s="46" t="str">
        <f>INPUT!AN108</f>
        <v>ABS</v>
      </c>
      <c r="AE108" s="204">
        <f>INPUT!AP108</f>
        <v>0</v>
      </c>
      <c r="AF108" s="37" t="str">
        <f>INPUT!AR108</f>
        <v>ABS</v>
      </c>
      <c r="AG108" s="37" t="str">
        <f>INPUT!AT108</f>
        <v>ABS</v>
      </c>
      <c r="AH108" s="37" t="str">
        <f>INPUT!AV108</f>
        <v>ABS</v>
      </c>
      <c r="AI108" s="38" t="str">
        <f>INPUT!AU108</f>
        <v>ABS</v>
      </c>
      <c r="AJ108" s="40" t="str">
        <f t="shared" si="4"/>
        <v>-</v>
      </c>
      <c r="AK108" s="211">
        <f>INPUT!AX108</f>
        <v>0</v>
      </c>
      <c r="AL108" s="37" t="str">
        <f>INPUT!AZ108</f>
        <v>ABS</v>
      </c>
      <c r="AM108" s="37" t="str">
        <f>INPUT!BB108</f>
        <v>ABS</v>
      </c>
      <c r="AN108" s="37" t="str">
        <f>INPUT!BD108</f>
        <v>ABS</v>
      </c>
      <c r="AO108" s="212" t="str">
        <f>INPUT!BC108</f>
        <v>ABS</v>
      </c>
      <c r="AP108" s="41" t="str">
        <f t="shared" si="5"/>
        <v/>
      </c>
      <c r="AQ108" s="41" t="str">
        <f t="shared" si="6"/>
        <v>ABS</v>
      </c>
      <c r="AR108" s="41" t="str">
        <f t="shared" si="7"/>
        <v/>
      </c>
      <c r="AS108" s="30"/>
      <c r="AT108" s="30"/>
      <c r="AU108" s="30"/>
      <c r="AV108" s="30"/>
      <c r="AX108" s="114" t="str">
        <f>AJ108&amp;"_"&amp;COUNTIF($AJ$5:AJ108,AJ108)</f>
        <v>-_98</v>
      </c>
    </row>
    <row r="109" spans="1:50">
      <c r="A109" s="112"/>
      <c r="B109" s="44">
        <f>INPUT!F109</f>
        <v>0</v>
      </c>
      <c r="C109" s="50">
        <f>INPUT!C109</f>
        <v>0</v>
      </c>
      <c r="D109" s="130">
        <f>INPUT!D109</f>
        <v>0</v>
      </c>
      <c r="E109" s="51">
        <f>INPUT!E109</f>
        <v>0</v>
      </c>
      <c r="F109" s="39" t="str">
        <f>INPUT!G109</f>
        <v>0011</v>
      </c>
      <c r="G109" s="37" t="str">
        <f>INPUT!I109</f>
        <v>ABS</v>
      </c>
      <c r="H109" s="37" t="str">
        <f>INPUT!K109</f>
        <v>ABS</v>
      </c>
      <c r="I109" s="37" t="str">
        <f>INPUT!M109</f>
        <v>ABS</v>
      </c>
      <c r="J109" s="38" t="str">
        <f>INPUT!L109</f>
        <v>ABS</v>
      </c>
      <c r="K109" s="205" t="str">
        <f>INPUT!N109</f>
        <v>0031</v>
      </c>
      <c r="L109" s="37" t="str">
        <f>INPUT!P109</f>
        <v>ABS</v>
      </c>
      <c r="M109" s="37" t="str">
        <f>INPUT!R109</f>
        <v>ABS</v>
      </c>
      <c r="N109" s="37" t="str">
        <f>INPUT!T109</f>
        <v>ABS</v>
      </c>
      <c r="O109" s="46" t="str">
        <f>INPUT!S109</f>
        <v>ABS</v>
      </c>
      <c r="P109" s="202" t="str">
        <f>INPUT!U109</f>
        <v>0051</v>
      </c>
      <c r="Q109" s="37" t="str">
        <f>INPUT!W109</f>
        <v>ABS</v>
      </c>
      <c r="R109" s="37" t="str">
        <f>INPUT!Y109</f>
        <v>ABS</v>
      </c>
      <c r="S109" s="37" t="str">
        <f>INPUT!AA109</f>
        <v>ABS</v>
      </c>
      <c r="T109" s="38" t="str">
        <f>INPUT!Z109</f>
        <v>ABS</v>
      </c>
      <c r="U109" s="209">
        <f>INPUT!AB109</f>
        <v>0</v>
      </c>
      <c r="V109" s="37" t="str">
        <f>INPUT!AD109</f>
        <v>ABS</v>
      </c>
      <c r="W109" s="37" t="str">
        <f>INPUT!AF109</f>
        <v>ABS</v>
      </c>
      <c r="X109" s="37" t="str">
        <f>INPUT!AH109</f>
        <v>ABS</v>
      </c>
      <c r="Y109" s="46" t="str">
        <f>INPUT!AG109</f>
        <v>ABS</v>
      </c>
      <c r="Z109" s="209">
        <f>INPUT!AI109</f>
        <v>0</v>
      </c>
      <c r="AA109" s="37" t="str">
        <f>INPUT!AK109</f>
        <v>ABS</v>
      </c>
      <c r="AB109" s="37" t="str">
        <f>INPUT!AM109</f>
        <v>ABS</v>
      </c>
      <c r="AC109" s="37" t="str">
        <f>INPUT!AO109</f>
        <v>ABS</v>
      </c>
      <c r="AD109" s="46" t="str">
        <f>INPUT!AN109</f>
        <v>ABS</v>
      </c>
      <c r="AE109" s="204">
        <f>INPUT!AP109</f>
        <v>0</v>
      </c>
      <c r="AF109" s="37" t="str">
        <f>INPUT!AR109</f>
        <v>ABS</v>
      </c>
      <c r="AG109" s="37" t="str">
        <f>INPUT!AT109</f>
        <v>ABS</v>
      </c>
      <c r="AH109" s="37" t="str">
        <f>INPUT!AV109</f>
        <v>ABS</v>
      </c>
      <c r="AI109" s="38" t="str">
        <f>INPUT!AU109</f>
        <v>ABS</v>
      </c>
      <c r="AJ109" s="40" t="str">
        <f t="shared" si="4"/>
        <v>-</v>
      </c>
      <c r="AK109" s="211">
        <f>INPUT!AX109</f>
        <v>0</v>
      </c>
      <c r="AL109" s="37" t="str">
        <f>INPUT!AZ109</f>
        <v>ABS</v>
      </c>
      <c r="AM109" s="37" t="str">
        <f>INPUT!BB109</f>
        <v>ABS</v>
      </c>
      <c r="AN109" s="37" t="str">
        <f>INPUT!BD109</f>
        <v>ABS</v>
      </c>
      <c r="AO109" s="212" t="str">
        <f>INPUT!BC109</f>
        <v>ABS</v>
      </c>
      <c r="AP109" s="41" t="str">
        <f t="shared" si="5"/>
        <v/>
      </c>
      <c r="AQ109" s="41" t="str">
        <f t="shared" si="6"/>
        <v>ABS</v>
      </c>
      <c r="AR109" s="41" t="str">
        <f t="shared" si="7"/>
        <v/>
      </c>
      <c r="AS109" s="30"/>
      <c r="AT109" s="30"/>
      <c r="AU109" s="30"/>
      <c r="AV109" s="30"/>
      <c r="AX109" s="114" t="str">
        <f>AJ109&amp;"_"&amp;COUNTIF($AJ$5:AJ109,AJ109)</f>
        <v>-_99</v>
      </c>
    </row>
    <row r="110" spans="1:50">
      <c r="A110" s="112"/>
      <c r="B110" s="44">
        <f>INPUT!F110</f>
        <v>0</v>
      </c>
      <c r="C110" s="50">
        <f>INPUT!C110</f>
        <v>0</v>
      </c>
      <c r="D110" s="130">
        <f>INPUT!D110</f>
        <v>0</v>
      </c>
      <c r="E110" s="51">
        <f>INPUT!E110</f>
        <v>0</v>
      </c>
      <c r="F110" s="39" t="str">
        <f>INPUT!G110</f>
        <v>0011</v>
      </c>
      <c r="G110" s="37" t="str">
        <f>INPUT!I110</f>
        <v>ABS</v>
      </c>
      <c r="H110" s="37" t="str">
        <f>INPUT!K110</f>
        <v>ABS</v>
      </c>
      <c r="I110" s="37" t="str">
        <f>INPUT!M110</f>
        <v>ABS</v>
      </c>
      <c r="J110" s="38" t="str">
        <f>INPUT!L110</f>
        <v>ABS</v>
      </c>
      <c r="K110" s="205" t="str">
        <f>INPUT!N110</f>
        <v>0031</v>
      </c>
      <c r="L110" s="37" t="str">
        <f>INPUT!P110</f>
        <v>ABS</v>
      </c>
      <c r="M110" s="37" t="str">
        <f>INPUT!R110</f>
        <v>ABS</v>
      </c>
      <c r="N110" s="37" t="str">
        <f>INPUT!T110</f>
        <v>ABS</v>
      </c>
      <c r="O110" s="46" t="str">
        <f>INPUT!S110</f>
        <v>ABS</v>
      </c>
      <c r="P110" s="202" t="str">
        <f>INPUT!U110</f>
        <v>0051</v>
      </c>
      <c r="Q110" s="37" t="str">
        <f>INPUT!W110</f>
        <v>ABS</v>
      </c>
      <c r="R110" s="37" t="str">
        <f>INPUT!Y110</f>
        <v>ABS</v>
      </c>
      <c r="S110" s="37" t="str">
        <f>INPUT!AA110</f>
        <v>ABS</v>
      </c>
      <c r="T110" s="38" t="str">
        <f>INPUT!Z110</f>
        <v>ABS</v>
      </c>
      <c r="U110" s="209">
        <f>INPUT!AB110</f>
        <v>0</v>
      </c>
      <c r="V110" s="37" t="str">
        <f>INPUT!AD110</f>
        <v>ABS</v>
      </c>
      <c r="W110" s="37" t="str">
        <f>INPUT!AF110</f>
        <v>ABS</v>
      </c>
      <c r="X110" s="37" t="str">
        <f>INPUT!AH110</f>
        <v>ABS</v>
      </c>
      <c r="Y110" s="46" t="str">
        <f>INPUT!AG110</f>
        <v>ABS</v>
      </c>
      <c r="Z110" s="209">
        <f>INPUT!AI110</f>
        <v>0</v>
      </c>
      <c r="AA110" s="37" t="str">
        <f>INPUT!AK110</f>
        <v>ABS</v>
      </c>
      <c r="AB110" s="37" t="str">
        <f>INPUT!AM110</f>
        <v>ABS</v>
      </c>
      <c r="AC110" s="37" t="str">
        <f>INPUT!AO110</f>
        <v>ABS</v>
      </c>
      <c r="AD110" s="46" t="str">
        <f>INPUT!AN110</f>
        <v>ABS</v>
      </c>
      <c r="AE110" s="204">
        <f>INPUT!AP110</f>
        <v>0</v>
      </c>
      <c r="AF110" s="37" t="str">
        <f>INPUT!AR110</f>
        <v>ABS</v>
      </c>
      <c r="AG110" s="37" t="str">
        <f>INPUT!AT110</f>
        <v>ABS</v>
      </c>
      <c r="AH110" s="37" t="str">
        <f>INPUT!AV110</f>
        <v>ABS</v>
      </c>
      <c r="AI110" s="38" t="str">
        <f>INPUT!AU110</f>
        <v>ABS</v>
      </c>
      <c r="AJ110" s="40" t="str">
        <f t="shared" si="4"/>
        <v>-</v>
      </c>
      <c r="AK110" s="211">
        <f>INPUT!AX110</f>
        <v>0</v>
      </c>
      <c r="AL110" s="37" t="str">
        <f>INPUT!AZ110</f>
        <v>ABS</v>
      </c>
      <c r="AM110" s="37" t="str">
        <f>INPUT!BB110</f>
        <v>ABS</v>
      </c>
      <c r="AN110" s="37" t="str">
        <f>INPUT!BD110</f>
        <v>ABS</v>
      </c>
      <c r="AO110" s="212" t="str">
        <f>INPUT!BC110</f>
        <v>ABS</v>
      </c>
      <c r="AP110" s="41" t="str">
        <f t="shared" si="5"/>
        <v/>
      </c>
      <c r="AQ110" s="41" t="str">
        <f t="shared" si="6"/>
        <v>ABS</v>
      </c>
      <c r="AR110" s="41" t="str">
        <f t="shared" si="7"/>
        <v/>
      </c>
      <c r="AS110" s="30"/>
      <c r="AT110" s="30"/>
      <c r="AU110" s="30"/>
      <c r="AV110" s="30"/>
      <c r="AX110" s="114" t="str">
        <f>AJ110&amp;"_"&amp;COUNTIF($AJ$5:AJ110,AJ110)</f>
        <v>-_100</v>
      </c>
    </row>
    <row r="111" spans="1:50">
      <c r="A111" s="112"/>
      <c r="B111" s="44">
        <f>INPUT!F111</f>
        <v>0</v>
      </c>
      <c r="C111" s="50">
        <f>INPUT!C111</f>
        <v>0</v>
      </c>
      <c r="D111" s="130">
        <f>INPUT!D111</f>
        <v>0</v>
      </c>
      <c r="E111" s="51">
        <f>INPUT!E111</f>
        <v>0</v>
      </c>
      <c r="F111" s="39" t="str">
        <f>INPUT!G111</f>
        <v>0011</v>
      </c>
      <c r="G111" s="37" t="str">
        <f>INPUT!I111</f>
        <v>ABS</v>
      </c>
      <c r="H111" s="37" t="str">
        <f>INPUT!K111</f>
        <v>ABS</v>
      </c>
      <c r="I111" s="37" t="str">
        <f>INPUT!M111</f>
        <v>ABS</v>
      </c>
      <c r="J111" s="38" t="str">
        <f>INPUT!L111</f>
        <v>ABS</v>
      </c>
      <c r="K111" s="205" t="str">
        <f>INPUT!N111</f>
        <v>0031</v>
      </c>
      <c r="L111" s="37" t="str">
        <f>INPUT!P111</f>
        <v>ABS</v>
      </c>
      <c r="M111" s="37" t="str">
        <f>INPUT!R111</f>
        <v>ABS</v>
      </c>
      <c r="N111" s="37" t="str">
        <f>INPUT!T111</f>
        <v>ABS</v>
      </c>
      <c r="O111" s="46" t="str">
        <f>INPUT!S111</f>
        <v>ABS</v>
      </c>
      <c r="P111" s="202" t="str">
        <f>INPUT!U111</f>
        <v>0051</v>
      </c>
      <c r="Q111" s="37" t="str">
        <f>INPUT!W111</f>
        <v>ABS</v>
      </c>
      <c r="R111" s="37" t="str">
        <f>INPUT!Y111</f>
        <v>ABS</v>
      </c>
      <c r="S111" s="37" t="str">
        <f>INPUT!AA111</f>
        <v>ABS</v>
      </c>
      <c r="T111" s="38" t="str">
        <f>INPUT!Z111</f>
        <v>ABS</v>
      </c>
      <c r="U111" s="209">
        <f>INPUT!AB111</f>
        <v>0</v>
      </c>
      <c r="V111" s="37" t="str">
        <f>INPUT!AD111</f>
        <v>ABS</v>
      </c>
      <c r="W111" s="37" t="str">
        <f>INPUT!AF111</f>
        <v>ABS</v>
      </c>
      <c r="X111" s="37" t="str">
        <f>INPUT!AH111</f>
        <v>ABS</v>
      </c>
      <c r="Y111" s="46" t="str">
        <f>INPUT!AG111</f>
        <v>ABS</v>
      </c>
      <c r="Z111" s="209">
        <f>INPUT!AI111</f>
        <v>0</v>
      </c>
      <c r="AA111" s="37" t="str">
        <f>INPUT!AK111</f>
        <v>ABS</v>
      </c>
      <c r="AB111" s="37" t="str">
        <f>INPUT!AM111</f>
        <v>ABS</v>
      </c>
      <c r="AC111" s="37" t="str">
        <f>INPUT!AO111</f>
        <v>ABS</v>
      </c>
      <c r="AD111" s="46" t="str">
        <f>INPUT!AN111</f>
        <v>ABS</v>
      </c>
      <c r="AE111" s="204">
        <f>INPUT!AP111</f>
        <v>0</v>
      </c>
      <c r="AF111" s="37" t="str">
        <f>INPUT!AR111</f>
        <v>ABS</v>
      </c>
      <c r="AG111" s="37" t="str">
        <f>INPUT!AT111</f>
        <v>ABS</v>
      </c>
      <c r="AH111" s="37" t="str">
        <f>INPUT!AV111</f>
        <v>ABS</v>
      </c>
      <c r="AI111" s="38" t="str">
        <f>INPUT!AU111</f>
        <v>ABS</v>
      </c>
      <c r="AJ111" s="40" t="str">
        <f t="shared" si="4"/>
        <v>-</v>
      </c>
      <c r="AK111" s="211">
        <f>INPUT!AX111</f>
        <v>0</v>
      </c>
      <c r="AL111" s="37" t="str">
        <f>INPUT!AZ111</f>
        <v>ABS</v>
      </c>
      <c r="AM111" s="37" t="str">
        <f>INPUT!BB111</f>
        <v>ABS</v>
      </c>
      <c r="AN111" s="37" t="str">
        <f>INPUT!BD111</f>
        <v>ABS</v>
      </c>
      <c r="AO111" s="212" t="str">
        <f>INPUT!BC111</f>
        <v>ABS</v>
      </c>
      <c r="AP111" s="41" t="str">
        <f t="shared" si="5"/>
        <v/>
      </c>
      <c r="AQ111" s="41" t="str">
        <f t="shared" si="6"/>
        <v>ABS</v>
      </c>
      <c r="AR111" s="41" t="str">
        <f t="shared" si="7"/>
        <v/>
      </c>
      <c r="AS111" s="30"/>
      <c r="AT111" s="30"/>
      <c r="AU111" s="30"/>
      <c r="AV111" s="30"/>
      <c r="AX111" s="114" t="str">
        <f>AJ111&amp;"_"&amp;COUNTIF($AJ$5:AJ111,AJ111)</f>
        <v>-_101</v>
      </c>
    </row>
    <row r="112" spans="1:50">
      <c r="A112" s="112"/>
      <c r="B112" s="44">
        <f>INPUT!F112</f>
        <v>0</v>
      </c>
      <c r="C112" s="50">
        <f>INPUT!C112</f>
        <v>0</v>
      </c>
      <c r="D112" s="130">
        <f>INPUT!D112</f>
        <v>0</v>
      </c>
      <c r="E112" s="51">
        <f>INPUT!E112</f>
        <v>0</v>
      </c>
      <c r="F112" s="39" t="str">
        <f>INPUT!G112</f>
        <v>0011</v>
      </c>
      <c r="G112" s="37" t="str">
        <f>INPUT!I112</f>
        <v>ABS</v>
      </c>
      <c r="H112" s="37" t="str">
        <f>INPUT!K112</f>
        <v>ABS</v>
      </c>
      <c r="I112" s="37" t="str">
        <f>INPUT!M112</f>
        <v>ABS</v>
      </c>
      <c r="J112" s="38" t="str">
        <f>INPUT!L112</f>
        <v>ABS</v>
      </c>
      <c r="K112" s="205" t="str">
        <f>INPUT!N112</f>
        <v>0031</v>
      </c>
      <c r="L112" s="37" t="str">
        <f>INPUT!P112</f>
        <v>ABS</v>
      </c>
      <c r="M112" s="37" t="str">
        <f>INPUT!R112</f>
        <v>ABS</v>
      </c>
      <c r="N112" s="37" t="str">
        <f>INPUT!T112</f>
        <v>ABS</v>
      </c>
      <c r="O112" s="46" t="str">
        <f>INPUT!S112</f>
        <v>ABS</v>
      </c>
      <c r="P112" s="202" t="str">
        <f>INPUT!U112</f>
        <v>0051</v>
      </c>
      <c r="Q112" s="37" t="str">
        <f>INPUT!W112</f>
        <v>ABS</v>
      </c>
      <c r="R112" s="37" t="str">
        <f>INPUT!Y112</f>
        <v>ABS</v>
      </c>
      <c r="S112" s="37" t="str">
        <f>INPUT!AA112</f>
        <v>ABS</v>
      </c>
      <c r="T112" s="38" t="str">
        <f>INPUT!Z112</f>
        <v>ABS</v>
      </c>
      <c r="U112" s="209">
        <f>INPUT!AB112</f>
        <v>0</v>
      </c>
      <c r="V112" s="37" t="str">
        <f>INPUT!AD112</f>
        <v>ABS</v>
      </c>
      <c r="W112" s="37" t="str">
        <f>INPUT!AF112</f>
        <v>ABS</v>
      </c>
      <c r="X112" s="37" t="str">
        <f>INPUT!AH112</f>
        <v>ABS</v>
      </c>
      <c r="Y112" s="46" t="str">
        <f>INPUT!AG112</f>
        <v>ABS</v>
      </c>
      <c r="Z112" s="209">
        <f>INPUT!AI112</f>
        <v>0</v>
      </c>
      <c r="AA112" s="37" t="str">
        <f>INPUT!AK112</f>
        <v>ABS</v>
      </c>
      <c r="AB112" s="37" t="str">
        <f>INPUT!AM112</f>
        <v>ABS</v>
      </c>
      <c r="AC112" s="37" t="str">
        <f>INPUT!AO112</f>
        <v>ABS</v>
      </c>
      <c r="AD112" s="46" t="str">
        <f>INPUT!AN112</f>
        <v>ABS</v>
      </c>
      <c r="AE112" s="204">
        <f>INPUT!AP112</f>
        <v>0</v>
      </c>
      <c r="AF112" s="37" t="str">
        <f>INPUT!AR112</f>
        <v>ABS</v>
      </c>
      <c r="AG112" s="37" t="str">
        <f>INPUT!AT112</f>
        <v>ABS</v>
      </c>
      <c r="AH112" s="37" t="str">
        <f>INPUT!AV112</f>
        <v>ABS</v>
      </c>
      <c r="AI112" s="38" t="str">
        <f>INPUT!AU112</f>
        <v>ABS</v>
      </c>
      <c r="AJ112" s="40" t="str">
        <f t="shared" si="4"/>
        <v>-</v>
      </c>
      <c r="AK112" s="211">
        <f>INPUT!AX112</f>
        <v>0</v>
      </c>
      <c r="AL112" s="37" t="str">
        <f>INPUT!AZ112</f>
        <v>ABS</v>
      </c>
      <c r="AM112" s="37" t="str">
        <f>INPUT!BB112</f>
        <v>ABS</v>
      </c>
      <c r="AN112" s="37" t="str">
        <f>INPUT!BD112</f>
        <v>ABS</v>
      </c>
      <c r="AO112" s="212" t="str">
        <f>INPUT!BC112</f>
        <v>ABS</v>
      </c>
      <c r="AP112" s="41" t="str">
        <f t="shared" si="5"/>
        <v/>
      </c>
      <c r="AQ112" s="41" t="str">
        <f t="shared" si="6"/>
        <v>ABS</v>
      </c>
      <c r="AR112" s="41" t="str">
        <f t="shared" si="7"/>
        <v/>
      </c>
      <c r="AS112" s="30"/>
      <c r="AT112" s="30"/>
      <c r="AU112" s="30"/>
      <c r="AV112" s="30"/>
      <c r="AX112" s="114" t="str">
        <f>AJ112&amp;"_"&amp;COUNTIF($AJ$5:AJ112,AJ112)</f>
        <v>-_102</v>
      </c>
    </row>
    <row r="113" spans="1:50">
      <c r="A113" s="112"/>
      <c r="B113" s="44">
        <f>INPUT!F113</f>
        <v>0</v>
      </c>
      <c r="C113" s="50">
        <f>INPUT!C113</f>
        <v>0</v>
      </c>
      <c r="D113" s="130">
        <f>INPUT!D113</f>
        <v>0</v>
      </c>
      <c r="E113" s="51">
        <f>INPUT!E113</f>
        <v>0</v>
      </c>
      <c r="F113" s="39" t="str">
        <f>INPUT!G113</f>
        <v>0011</v>
      </c>
      <c r="G113" s="37" t="str">
        <f>INPUT!I113</f>
        <v>ABS</v>
      </c>
      <c r="H113" s="37" t="str">
        <f>INPUT!K113</f>
        <v>ABS</v>
      </c>
      <c r="I113" s="37" t="str">
        <f>INPUT!M113</f>
        <v>ABS</v>
      </c>
      <c r="J113" s="38" t="str">
        <f>INPUT!L113</f>
        <v>ABS</v>
      </c>
      <c r="K113" s="205" t="str">
        <f>INPUT!N113</f>
        <v>0031</v>
      </c>
      <c r="L113" s="37" t="str">
        <f>INPUT!P113</f>
        <v>ABS</v>
      </c>
      <c r="M113" s="37" t="str">
        <f>INPUT!R113</f>
        <v>ABS</v>
      </c>
      <c r="N113" s="37" t="str">
        <f>INPUT!T113</f>
        <v>ABS</v>
      </c>
      <c r="O113" s="46" t="str">
        <f>INPUT!S113</f>
        <v>ABS</v>
      </c>
      <c r="P113" s="202" t="str">
        <f>INPUT!U113</f>
        <v>0051</v>
      </c>
      <c r="Q113" s="37" t="str">
        <f>INPUT!W113</f>
        <v>ABS</v>
      </c>
      <c r="R113" s="37" t="str">
        <f>INPUT!Y113</f>
        <v>ABS</v>
      </c>
      <c r="S113" s="37" t="str">
        <f>INPUT!AA113</f>
        <v>ABS</v>
      </c>
      <c r="T113" s="38" t="str">
        <f>INPUT!Z113</f>
        <v>ABS</v>
      </c>
      <c r="U113" s="209">
        <f>INPUT!AB113</f>
        <v>0</v>
      </c>
      <c r="V113" s="37" t="str">
        <f>INPUT!AD113</f>
        <v>ABS</v>
      </c>
      <c r="W113" s="37" t="str">
        <f>INPUT!AF113</f>
        <v>ABS</v>
      </c>
      <c r="X113" s="37" t="str">
        <f>INPUT!AH113</f>
        <v>ABS</v>
      </c>
      <c r="Y113" s="46" t="str">
        <f>INPUT!AG113</f>
        <v>ABS</v>
      </c>
      <c r="Z113" s="209">
        <f>INPUT!AI113</f>
        <v>0</v>
      </c>
      <c r="AA113" s="37" t="str">
        <f>INPUT!AK113</f>
        <v>ABS</v>
      </c>
      <c r="AB113" s="37" t="str">
        <f>INPUT!AM113</f>
        <v>ABS</v>
      </c>
      <c r="AC113" s="37" t="str">
        <f>INPUT!AO113</f>
        <v>ABS</v>
      </c>
      <c r="AD113" s="46" t="str">
        <f>INPUT!AN113</f>
        <v>ABS</v>
      </c>
      <c r="AE113" s="204">
        <f>INPUT!AP113</f>
        <v>0</v>
      </c>
      <c r="AF113" s="37" t="str">
        <f>INPUT!AR113</f>
        <v>ABS</v>
      </c>
      <c r="AG113" s="37" t="str">
        <f>INPUT!AT113</f>
        <v>ABS</v>
      </c>
      <c r="AH113" s="37" t="str">
        <f>INPUT!AV113</f>
        <v>ABS</v>
      </c>
      <c r="AI113" s="38" t="str">
        <f>INPUT!AU113</f>
        <v>ABS</v>
      </c>
      <c r="AJ113" s="40" t="str">
        <f t="shared" si="4"/>
        <v>-</v>
      </c>
      <c r="AK113" s="211">
        <f>INPUT!AX113</f>
        <v>0</v>
      </c>
      <c r="AL113" s="37" t="str">
        <f>INPUT!AZ113</f>
        <v>ABS</v>
      </c>
      <c r="AM113" s="37" t="str">
        <f>INPUT!BB113</f>
        <v>ABS</v>
      </c>
      <c r="AN113" s="37" t="str">
        <f>INPUT!BD113</f>
        <v>ABS</v>
      </c>
      <c r="AO113" s="212" t="str">
        <f>INPUT!BC113</f>
        <v>ABS</v>
      </c>
      <c r="AP113" s="41" t="str">
        <f t="shared" si="5"/>
        <v/>
      </c>
      <c r="AQ113" s="41" t="str">
        <f t="shared" si="6"/>
        <v>ABS</v>
      </c>
      <c r="AR113" s="41" t="str">
        <f t="shared" si="7"/>
        <v/>
      </c>
      <c r="AS113" s="30"/>
      <c r="AT113" s="30"/>
      <c r="AU113" s="30"/>
      <c r="AV113" s="30"/>
      <c r="AX113" s="114" t="str">
        <f>AJ113&amp;"_"&amp;COUNTIF($AJ$5:AJ113,AJ113)</f>
        <v>-_103</v>
      </c>
    </row>
    <row r="114" spans="1:50">
      <c r="A114" s="112"/>
      <c r="B114" s="44">
        <f>INPUT!F114</f>
        <v>0</v>
      </c>
      <c r="C114" s="50">
        <f>INPUT!C114</f>
        <v>0</v>
      </c>
      <c r="D114" s="130">
        <f>INPUT!D114</f>
        <v>0</v>
      </c>
      <c r="E114" s="51">
        <f>INPUT!E114</f>
        <v>0</v>
      </c>
      <c r="F114" s="39" t="str">
        <f>INPUT!G114</f>
        <v>0011</v>
      </c>
      <c r="G114" s="37" t="str">
        <f>INPUT!I114</f>
        <v>ABS</v>
      </c>
      <c r="H114" s="37" t="str">
        <f>INPUT!K114</f>
        <v>ABS</v>
      </c>
      <c r="I114" s="37" t="str">
        <f>INPUT!M114</f>
        <v>ABS</v>
      </c>
      <c r="J114" s="38" t="str">
        <f>INPUT!L114</f>
        <v>ABS</v>
      </c>
      <c r="K114" s="205" t="str">
        <f>INPUT!N114</f>
        <v>0031</v>
      </c>
      <c r="L114" s="37" t="str">
        <f>INPUT!P114</f>
        <v>ABS</v>
      </c>
      <c r="M114" s="37" t="str">
        <f>INPUT!R114</f>
        <v>ABS</v>
      </c>
      <c r="N114" s="37" t="str">
        <f>INPUT!T114</f>
        <v>ABS</v>
      </c>
      <c r="O114" s="46" t="str">
        <f>INPUT!S114</f>
        <v>ABS</v>
      </c>
      <c r="P114" s="202" t="str">
        <f>INPUT!U114</f>
        <v>0051</v>
      </c>
      <c r="Q114" s="37" t="str">
        <f>INPUT!W114</f>
        <v>ABS</v>
      </c>
      <c r="R114" s="37" t="str">
        <f>INPUT!Y114</f>
        <v>ABS</v>
      </c>
      <c r="S114" s="37" t="str">
        <f>INPUT!AA114</f>
        <v>ABS</v>
      </c>
      <c r="T114" s="38" t="str">
        <f>INPUT!Z114</f>
        <v>ABS</v>
      </c>
      <c r="U114" s="209">
        <f>INPUT!AB114</f>
        <v>0</v>
      </c>
      <c r="V114" s="37" t="str">
        <f>INPUT!AD114</f>
        <v>ABS</v>
      </c>
      <c r="W114" s="37" t="str">
        <f>INPUT!AF114</f>
        <v>ABS</v>
      </c>
      <c r="X114" s="37" t="str">
        <f>INPUT!AH114</f>
        <v>ABS</v>
      </c>
      <c r="Y114" s="46" t="str">
        <f>INPUT!AG114</f>
        <v>ABS</v>
      </c>
      <c r="Z114" s="209">
        <f>INPUT!AI114</f>
        <v>0</v>
      </c>
      <c r="AA114" s="37" t="str">
        <f>INPUT!AK114</f>
        <v>ABS</v>
      </c>
      <c r="AB114" s="37" t="str">
        <f>INPUT!AM114</f>
        <v>ABS</v>
      </c>
      <c r="AC114" s="37" t="str">
        <f>INPUT!AO114</f>
        <v>ABS</v>
      </c>
      <c r="AD114" s="46" t="str">
        <f>INPUT!AN114</f>
        <v>ABS</v>
      </c>
      <c r="AE114" s="204">
        <f>INPUT!AP114</f>
        <v>0</v>
      </c>
      <c r="AF114" s="37" t="str">
        <f>INPUT!AR114</f>
        <v>ABS</v>
      </c>
      <c r="AG114" s="37" t="str">
        <f>INPUT!AT114</f>
        <v>ABS</v>
      </c>
      <c r="AH114" s="37" t="str">
        <f>INPUT!AV114</f>
        <v>ABS</v>
      </c>
      <c r="AI114" s="38" t="str">
        <f>INPUT!AU114</f>
        <v>ABS</v>
      </c>
      <c r="AJ114" s="40" t="str">
        <f t="shared" si="4"/>
        <v>-</v>
      </c>
      <c r="AK114" s="211">
        <f>INPUT!AX114</f>
        <v>0</v>
      </c>
      <c r="AL114" s="37" t="str">
        <f>INPUT!AZ114</f>
        <v>ABS</v>
      </c>
      <c r="AM114" s="37" t="str">
        <f>INPUT!BB114</f>
        <v>ABS</v>
      </c>
      <c r="AN114" s="37" t="str">
        <f>INPUT!BD114</f>
        <v>ABS</v>
      </c>
      <c r="AO114" s="212" t="str">
        <f>INPUT!BC114</f>
        <v>ABS</v>
      </c>
      <c r="AP114" s="41" t="str">
        <f t="shared" si="5"/>
        <v/>
      </c>
      <c r="AQ114" s="41" t="str">
        <f t="shared" si="6"/>
        <v>ABS</v>
      </c>
      <c r="AR114" s="41" t="str">
        <f t="shared" si="7"/>
        <v/>
      </c>
      <c r="AS114" s="30"/>
      <c r="AT114" s="30"/>
      <c r="AU114" s="30"/>
      <c r="AV114" s="30"/>
      <c r="AX114" s="114" t="str">
        <f>AJ114&amp;"_"&amp;COUNTIF($AJ$5:AJ114,AJ114)</f>
        <v>-_104</v>
      </c>
    </row>
    <row r="115" spans="1:50">
      <c r="A115" s="112"/>
      <c r="B115" s="44">
        <f>INPUT!F115</f>
        <v>0</v>
      </c>
      <c r="C115" s="50">
        <f>INPUT!C115</f>
        <v>0</v>
      </c>
      <c r="D115" s="130">
        <f>INPUT!D115</f>
        <v>0</v>
      </c>
      <c r="E115" s="51">
        <f>INPUT!E115</f>
        <v>0</v>
      </c>
      <c r="F115" s="39" t="str">
        <f>INPUT!G115</f>
        <v>0011</v>
      </c>
      <c r="G115" s="37" t="str">
        <f>INPUT!I115</f>
        <v>ABS</v>
      </c>
      <c r="H115" s="37" t="str">
        <f>INPUT!K115</f>
        <v>ABS</v>
      </c>
      <c r="I115" s="37" t="str">
        <f>INPUT!M115</f>
        <v>ABS</v>
      </c>
      <c r="J115" s="38" t="str">
        <f>INPUT!L115</f>
        <v>ABS</v>
      </c>
      <c r="K115" s="205" t="str">
        <f>INPUT!N115</f>
        <v>0031</v>
      </c>
      <c r="L115" s="37" t="str">
        <f>INPUT!P115</f>
        <v>ABS</v>
      </c>
      <c r="M115" s="37" t="str">
        <f>INPUT!R115</f>
        <v>ABS</v>
      </c>
      <c r="N115" s="37" t="str">
        <f>INPUT!T115</f>
        <v>ABS</v>
      </c>
      <c r="O115" s="46" t="str">
        <f>INPUT!S115</f>
        <v>ABS</v>
      </c>
      <c r="P115" s="202" t="str">
        <f>INPUT!U115</f>
        <v>0051</v>
      </c>
      <c r="Q115" s="37" t="str">
        <f>INPUT!W115</f>
        <v>ABS</v>
      </c>
      <c r="R115" s="37" t="str">
        <f>INPUT!Y115</f>
        <v>ABS</v>
      </c>
      <c r="S115" s="37" t="str">
        <f>INPUT!AA115</f>
        <v>ABS</v>
      </c>
      <c r="T115" s="38" t="str">
        <f>INPUT!Z115</f>
        <v>ABS</v>
      </c>
      <c r="U115" s="209">
        <f>INPUT!AB115</f>
        <v>0</v>
      </c>
      <c r="V115" s="37" t="str">
        <f>INPUT!AD115</f>
        <v>ABS</v>
      </c>
      <c r="W115" s="37" t="str">
        <f>INPUT!AF115</f>
        <v>ABS</v>
      </c>
      <c r="X115" s="37" t="str">
        <f>INPUT!AH115</f>
        <v>ABS</v>
      </c>
      <c r="Y115" s="46" t="str">
        <f>INPUT!AG115</f>
        <v>ABS</v>
      </c>
      <c r="Z115" s="209">
        <f>INPUT!AI115</f>
        <v>0</v>
      </c>
      <c r="AA115" s="37" t="str">
        <f>INPUT!AK115</f>
        <v>ABS</v>
      </c>
      <c r="AB115" s="37" t="str">
        <f>INPUT!AM115</f>
        <v>ABS</v>
      </c>
      <c r="AC115" s="37" t="str">
        <f>INPUT!AO115</f>
        <v>ABS</v>
      </c>
      <c r="AD115" s="46" t="str">
        <f>INPUT!AN115</f>
        <v>ABS</v>
      </c>
      <c r="AE115" s="204">
        <f>INPUT!AP115</f>
        <v>0</v>
      </c>
      <c r="AF115" s="37" t="str">
        <f>INPUT!AR115</f>
        <v>ABS</v>
      </c>
      <c r="AG115" s="37" t="str">
        <f>INPUT!AT115</f>
        <v>ABS</v>
      </c>
      <c r="AH115" s="37" t="str">
        <f>INPUT!AV115</f>
        <v>ABS</v>
      </c>
      <c r="AI115" s="38" t="str">
        <f>INPUT!AU115</f>
        <v>ABS</v>
      </c>
      <c r="AJ115" s="40" t="str">
        <f t="shared" si="4"/>
        <v>-</v>
      </c>
      <c r="AK115" s="211">
        <f>INPUT!AX115</f>
        <v>0</v>
      </c>
      <c r="AL115" s="37" t="str">
        <f>INPUT!AZ115</f>
        <v>ABS</v>
      </c>
      <c r="AM115" s="37" t="str">
        <f>INPUT!BB115</f>
        <v>ABS</v>
      </c>
      <c r="AN115" s="37" t="str">
        <f>INPUT!BD115</f>
        <v>ABS</v>
      </c>
      <c r="AO115" s="212" t="str">
        <f>INPUT!BC115</f>
        <v>ABS</v>
      </c>
      <c r="AP115" s="41" t="str">
        <f t="shared" si="5"/>
        <v/>
      </c>
      <c r="AQ115" s="41" t="str">
        <f t="shared" si="6"/>
        <v>ABS</v>
      </c>
      <c r="AR115" s="41" t="str">
        <f t="shared" si="7"/>
        <v/>
      </c>
      <c r="AS115" s="30"/>
      <c r="AT115" s="30"/>
      <c r="AU115" s="30"/>
      <c r="AV115" s="30"/>
      <c r="AX115" s="114" t="str">
        <f>AJ115&amp;"_"&amp;COUNTIF($AJ$5:AJ115,AJ115)</f>
        <v>-_105</v>
      </c>
    </row>
    <row r="116" spans="1:50">
      <c r="A116" s="112"/>
      <c r="B116" s="44">
        <f>INPUT!F116</f>
        <v>0</v>
      </c>
      <c r="C116" s="50">
        <f>INPUT!C116</f>
        <v>0</v>
      </c>
      <c r="D116" s="130">
        <f>INPUT!D116</f>
        <v>0</v>
      </c>
      <c r="E116" s="51">
        <f>INPUT!E116</f>
        <v>0</v>
      </c>
      <c r="F116" s="39" t="str">
        <f>INPUT!G116</f>
        <v>0011</v>
      </c>
      <c r="G116" s="37" t="str">
        <f>INPUT!I116</f>
        <v>ABS</v>
      </c>
      <c r="H116" s="37" t="str">
        <f>INPUT!K116</f>
        <v>ABS</v>
      </c>
      <c r="I116" s="37" t="str">
        <f>INPUT!M116</f>
        <v>ABS</v>
      </c>
      <c r="J116" s="38" t="str">
        <f>INPUT!L116</f>
        <v>ABS</v>
      </c>
      <c r="K116" s="205" t="str">
        <f>INPUT!N116</f>
        <v>0031</v>
      </c>
      <c r="L116" s="37" t="str">
        <f>INPUT!P116</f>
        <v>ABS</v>
      </c>
      <c r="M116" s="37" t="str">
        <f>INPUT!R116</f>
        <v>ABS</v>
      </c>
      <c r="N116" s="37" t="str">
        <f>INPUT!T116</f>
        <v>ABS</v>
      </c>
      <c r="O116" s="46" t="str">
        <f>INPUT!S116</f>
        <v>ABS</v>
      </c>
      <c r="P116" s="202" t="str">
        <f>INPUT!U116</f>
        <v>0051</v>
      </c>
      <c r="Q116" s="37" t="str">
        <f>INPUT!W116</f>
        <v>ABS</v>
      </c>
      <c r="R116" s="37" t="str">
        <f>INPUT!Y116</f>
        <v>ABS</v>
      </c>
      <c r="S116" s="37" t="str">
        <f>INPUT!AA116</f>
        <v>ABS</v>
      </c>
      <c r="T116" s="38" t="str">
        <f>INPUT!Z116</f>
        <v>ABS</v>
      </c>
      <c r="U116" s="209">
        <f>INPUT!AB116</f>
        <v>0</v>
      </c>
      <c r="V116" s="37" t="str">
        <f>INPUT!AD116</f>
        <v>ABS</v>
      </c>
      <c r="W116" s="37" t="str">
        <f>INPUT!AF116</f>
        <v>ABS</v>
      </c>
      <c r="X116" s="37" t="str">
        <f>INPUT!AH116</f>
        <v>ABS</v>
      </c>
      <c r="Y116" s="46" t="str">
        <f>INPUT!AG116</f>
        <v>ABS</v>
      </c>
      <c r="Z116" s="209">
        <f>INPUT!AI116</f>
        <v>0</v>
      </c>
      <c r="AA116" s="37" t="str">
        <f>INPUT!AK116</f>
        <v>ABS</v>
      </c>
      <c r="AB116" s="37" t="str">
        <f>INPUT!AM116</f>
        <v>ABS</v>
      </c>
      <c r="AC116" s="37" t="str">
        <f>INPUT!AO116</f>
        <v>ABS</v>
      </c>
      <c r="AD116" s="46" t="str">
        <f>INPUT!AN116</f>
        <v>ABS</v>
      </c>
      <c r="AE116" s="204">
        <f>INPUT!AP116</f>
        <v>0</v>
      </c>
      <c r="AF116" s="37" t="str">
        <f>INPUT!AR116</f>
        <v>ABS</v>
      </c>
      <c r="AG116" s="37" t="str">
        <f>INPUT!AT116</f>
        <v>ABS</v>
      </c>
      <c r="AH116" s="37" t="str">
        <f>INPUT!AV116</f>
        <v>ABS</v>
      </c>
      <c r="AI116" s="38" t="str">
        <f>INPUT!AU116</f>
        <v>ABS</v>
      </c>
      <c r="AJ116" s="40" t="str">
        <f t="shared" si="4"/>
        <v>-</v>
      </c>
      <c r="AK116" s="211">
        <f>INPUT!AX116</f>
        <v>0</v>
      </c>
      <c r="AL116" s="37" t="str">
        <f>INPUT!AZ116</f>
        <v>ABS</v>
      </c>
      <c r="AM116" s="37" t="str">
        <f>INPUT!BB116</f>
        <v>ABS</v>
      </c>
      <c r="AN116" s="37" t="str">
        <f>INPUT!BD116</f>
        <v>ABS</v>
      </c>
      <c r="AO116" s="212" t="str">
        <f>INPUT!BC116</f>
        <v>ABS</v>
      </c>
      <c r="AP116" s="41" t="str">
        <f t="shared" si="5"/>
        <v/>
      </c>
      <c r="AQ116" s="41" t="str">
        <f t="shared" si="6"/>
        <v>ABS</v>
      </c>
      <c r="AR116" s="41" t="str">
        <f t="shared" si="7"/>
        <v/>
      </c>
      <c r="AS116" s="30"/>
      <c r="AT116" s="30"/>
      <c r="AU116" s="30"/>
      <c r="AV116" s="30"/>
      <c r="AX116" s="114" t="str">
        <f>AJ116&amp;"_"&amp;COUNTIF($AJ$5:AJ116,AJ116)</f>
        <v>-_106</v>
      </c>
    </row>
    <row r="117" spans="1:50">
      <c r="A117" s="112"/>
      <c r="B117" s="44">
        <f>INPUT!F117</f>
        <v>0</v>
      </c>
      <c r="C117" s="50">
        <f>INPUT!C117</f>
        <v>0</v>
      </c>
      <c r="D117" s="130">
        <f>INPUT!D117</f>
        <v>0</v>
      </c>
      <c r="E117" s="51">
        <f>INPUT!E117</f>
        <v>0</v>
      </c>
      <c r="F117" s="39" t="str">
        <f>INPUT!G117</f>
        <v>0011</v>
      </c>
      <c r="G117" s="37" t="str">
        <f>INPUT!I117</f>
        <v>ABS</v>
      </c>
      <c r="H117" s="37" t="str">
        <f>INPUT!K117</f>
        <v>ABS</v>
      </c>
      <c r="I117" s="37" t="str">
        <f>INPUT!M117</f>
        <v>ABS</v>
      </c>
      <c r="J117" s="38" t="str">
        <f>INPUT!L117</f>
        <v>ABS</v>
      </c>
      <c r="K117" s="205" t="str">
        <f>INPUT!N117</f>
        <v>0031</v>
      </c>
      <c r="L117" s="37" t="str">
        <f>INPUT!P117</f>
        <v>ABS</v>
      </c>
      <c r="M117" s="37" t="str">
        <f>INPUT!R117</f>
        <v>ABS</v>
      </c>
      <c r="N117" s="37" t="str">
        <f>INPUT!T117</f>
        <v>ABS</v>
      </c>
      <c r="O117" s="46" t="str">
        <f>INPUT!S117</f>
        <v>ABS</v>
      </c>
      <c r="P117" s="202" t="str">
        <f>INPUT!U117</f>
        <v>0051</v>
      </c>
      <c r="Q117" s="37" t="str">
        <f>INPUT!W117</f>
        <v>ABS</v>
      </c>
      <c r="R117" s="37" t="str">
        <f>INPUT!Y117</f>
        <v>ABS</v>
      </c>
      <c r="S117" s="37" t="str">
        <f>INPUT!AA117</f>
        <v>ABS</v>
      </c>
      <c r="T117" s="38" t="str">
        <f>INPUT!Z117</f>
        <v>ABS</v>
      </c>
      <c r="U117" s="209">
        <f>INPUT!AB117</f>
        <v>0</v>
      </c>
      <c r="V117" s="37" t="str">
        <f>INPUT!AD117</f>
        <v>ABS</v>
      </c>
      <c r="W117" s="37" t="str">
        <f>INPUT!AF117</f>
        <v>ABS</v>
      </c>
      <c r="X117" s="37" t="str">
        <f>INPUT!AH117</f>
        <v>ABS</v>
      </c>
      <c r="Y117" s="46" t="str">
        <f>INPUT!AG117</f>
        <v>ABS</v>
      </c>
      <c r="Z117" s="209">
        <f>INPUT!AI117</f>
        <v>0</v>
      </c>
      <c r="AA117" s="37" t="str">
        <f>INPUT!AK117</f>
        <v>ABS</v>
      </c>
      <c r="AB117" s="37" t="str">
        <f>INPUT!AM117</f>
        <v>ABS</v>
      </c>
      <c r="AC117" s="37" t="str">
        <f>INPUT!AO117</f>
        <v>ABS</v>
      </c>
      <c r="AD117" s="46" t="str">
        <f>INPUT!AN117</f>
        <v>ABS</v>
      </c>
      <c r="AE117" s="204">
        <f>INPUT!AP117</f>
        <v>0</v>
      </c>
      <c r="AF117" s="37" t="str">
        <f>INPUT!AR117</f>
        <v>ABS</v>
      </c>
      <c r="AG117" s="37" t="str">
        <f>INPUT!AT117</f>
        <v>ABS</v>
      </c>
      <c r="AH117" s="37" t="str">
        <f>INPUT!AV117</f>
        <v>ABS</v>
      </c>
      <c r="AI117" s="38" t="str">
        <f>INPUT!AU117</f>
        <v>ABS</v>
      </c>
      <c r="AJ117" s="40" t="str">
        <f t="shared" si="4"/>
        <v>-</v>
      </c>
      <c r="AK117" s="211">
        <f>INPUT!AX117</f>
        <v>0</v>
      </c>
      <c r="AL117" s="37" t="str">
        <f>INPUT!AZ117</f>
        <v>ABS</v>
      </c>
      <c r="AM117" s="37" t="str">
        <f>INPUT!BB117</f>
        <v>ABS</v>
      </c>
      <c r="AN117" s="37" t="str">
        <f>INPUT!BD117</f>
        <v>ABS</v>
      </c>
      <c r="AO117" s="212" t="str">
        <f>INPUT!BC117</f>
        <v>ABS</v>
      </c>
      <c r="AP117" s="41" t="str">
        <f t="shared" si="5"/>
        <v/>
      </c>
      <c r="AQ117" s="41" t="str">
        <f t="shared" si="6"/>
        <v>ABS</v>
      </c>
      <c r="AR117" s="41" t="str">
        <f t="shared" si="7"/>
        <v/>
      </c>
      <c r="AS117" s="30"/>
      <c r="AT117" s="30"/>
      <c r="AU117" s="30"/>
      <c r="AV117" s="30"/>
      <c r="AX117" s="114" t="str">
        <f>AJ117&amp;"_"&amp;COUNTIF($AJ$5:AJ117,AJ117)</f>
        <v>-_107</v>
      </c>
    </row>
    <row r="118" spans="1:50">
      <c r="A118" s="112"/>
      <c r="B118" s="44">
        <f>INPUT!F118</f>
        <v>0</v>
      </c>
      <c r="C118" s="50">
        <f>INPUT!C118</f>
        <v>0</v>
      </c>
      <c r="D118" s="130">
        <f>INPUT!D118</f>
        <v>0</v>
      </c>
      <c r="E118" s="51">
        <f>INPUT!E118</f>
        <v>0</v>
      </c>
      <c r="F118" s="39" t="str">
        <f>INPUT!G118</f>
        <v>0011</v>
      </c>
      <c r="G118" s="37" t="str">
        <f>INPUT!I118</f>
        <v>ABS</v>
      </c>
      <c r="H118" s="37" t="str">
        <f>INPUT!K118</f>
        <v>ABS</v>
      </c>
      <c r="I118" s="37" t="str">
        <f>INPUT!M118</f>
        <v>ABS</v>
      </c>
      <c r="J118" s="38" t="str">
        <f>INPUT!L118</f>
        <v>ABS</v>
      </c>
      <c r="K118" s="205" t="str">
        <f>INPUT!N118</f>
        <v>0031</v>
      </c>
      <c r="L118" s="37" t="str">
        <f>INPUT!P118</f>
        <v>ABS</v>
      </c>
      <c r="M118" s="37" t="str">
        <f>INPUT!R118</f>
        <v>ABS</v>
      </c>
      <c r="N118" s="37" t="str">
        <f>INPUT!T118</f>
        <v>ABS</v>
      </c>
      <c r="O118" s="46" t="str">
        <f>INPUT!S118</f>
        <v>ABS</v>
      </c>
      <c r="P118" s="202" t="str">
        <f>INPUT!U118</f>
        <v>0051</v>
      </c>
      <c r="Q118" s="37" t="str">
        <f>INPUT!W118</f>
        <v>ABS</v>
      </c>
      <c r="R118" s="37" t="str">
        <f>INPUT!Y118</f>
        <v>ABS</v>
      </c>
      <c r="S118" s="37" t="str">
        <f>INPUT!AA118</f>
        <v>ABS</v>
      </c>
      <c r="T118" s="38" t="str">
        <f>INPUT!Z118</f>
        <v>ABS</v>
      </c>
      <c r="U118" s="209">
        <f>INPUT!AB118</f>
        <v>0</v>
      </c>
      <c r="V118" s="37" t="str">
        <f>INPUT!AD118</f>
        <v>ABS</v>
      </c>
      <c r="W118" s="37" t="str">
        <f>INPUT!AF118</f>
        <v>ABS</v>
      </c>
      <c r="X118" s="37" t="str">
        <f>INPUT!AH118</f>
        <v>ABS</v>
      </c>
      <c r="Y118" s="46" t="str">
        <f>INPUT!AG118</f>
        <v>ABS</v>
      </c>
      <c r="Z118" s="209">
        <f>INPUT!AI118</f>
        <v>0</v>
      </c>
      <c r="AA118" s="37" t="str">
        <f>INPUT!AK118</f>
        <v>ABS</v>
      </c>
      <c r="AB118" s="37" t="str">
        <f>INPUT!AM118</f>
        <v>ABS</v>
      </c>
      <c r="AC118" s="37" t="str">
        <f>INPUT!AO118</f>
        <v>ABS</v>
      </c>
      <c r="AD118" s="46" t="str">
        <f>INPUT!AN118</f>
        <v>ABS</v>
      </c>
      <c r="AE118" s="204">
        <f>INPUT!AP118</f>
        <v>0</v>
      </c>
      <c r="AF118" s="37" t="str">
        <f>INPUT!AR118</f>
        <v>ABS</v>
      </c>
      <c r="AG118" s="37" t="str">
        <f>INPUT!AT118</f>
        <v>ABS</v>
      </c>
      <c r="AH118" s="37" t="str">
        <f>INPUT!AV118</f>
        <v>ABS</v>
      </c>
      <c r="AI118" s="38" t="str">
        <f>INPUT!AU118</f>
        <v>ABS</v>
      </c>
      <c r="AJ118" s="40" t="str">
        <f t="shared" si="4"/>
        <v>-</v>
      </c>
      <c r="AK118" s="211">
        <f>INPUT!AX118</f>
        <v>0</v>
      </c>
      <c r="AL118" s="37" t="str">
        <f>INPUT!AZ118</f>
        <v>ABS</v>
      </c>
      <c r="AM118" s="37" t="str">
        <f>INPUT!BB118</f>
        <v>ABS</v>
      </c>
      <c r="AN118" s="37" t="str">
        <f>INPUT!BD118</f>
        <v>ABS</v>
      </c>
      <c r="AO118" s="212" t="str">
        <f>INPUT!BC118</f>
        <v>ABS</v>
      </c>
      <c r="AP118" s="41" t="str">
        <f t="shared" si="5"/>
        <v/>
      </c>
      <c r="AQ118" s="41" t="str">
        <f t="shared" si="6"/>
        <v>ABS</v>
      </c>
      <c r="AR118" s="41" t="str">
        <f t="shared" si="7"/>
        <v/>
      </c>
      <c r="AS118" s="30"/>
      <c r="AT118" s="30"/>
      <c r="AU118" s="30"/>
      <c r="AV118" s="30"/>
      <c r="AX118" s="114" t="str">
        <f>AJ118&amp;"_"&amp;COUNTIF($AJ$5:AJ118,AJ118)</f>
        <v>-_108</v>
      </c>
    </row>
    <row r="119" spans="1:50">
      <c r="A119" s="112"/>
      <c r="B119" s="44">
        <f>INPUT!F119</f>
        <v>0</v>
      </c>
      <c r="C119" s="50">
        <f>INPUT!C119</f>
        <v>0</v>
      </c>
      <c r="D119" s="130">
        <f>INPUT!D119</f>
        <v>0</v>
      </c>
      <c r="E119" s="51">
        <f>INPUT!E119</f>
        <v>0</v>
      </c>
      <c r="F119" s="39" t="str">
        <f>INPUT!G119</f>
        <v>0011</v>
      </c>
      <c r="G119" s="37" t="str">
        <f>INPUT!I119</f>
        <v>ABS</v>
      </c>
      <c r="H119" s="37" t="str">
        <f>INPUT!K119</f>
        <v>ABS</v>
      </c>
      <c r="I119" s="37" t="str">
        <f>INPUT!M119</f>
        <v>ABS</v>
      </c>
      <c r="J119" s="38" t="str">
        <f>INPUT!L119</f>
        <v>ABS</v>
      </c>
      <c r="K119" s="205" t="str">
        <f>INPUT!N119</f>
        <v>0031</v>
      </c>
      <c r="L119" s="37" t="str">
        <f>INPUT!P119</f>
        <v>ABS</v>
      </c>
      <c r="M119" s="37" t="str">
        <f>INPUT!R119</f>
        <v>ABS</v>
      </c>
      <c r="N119" s="37" t="str">
        <f>INPUT!T119</f>
        <v>ABS</v>
      </c>
      <c r="O119" s="46" t="str">
        <f>INPUT!S119</f>
        <v>ABS</v>
      </c>
      <c r="P119" s="202" t="str">
        <f>INPUT!U119</f>
        <v>0051</v>
      </c>
      <c r="Q119" s="37" t="str">
        <f>INPUT!W119</f>
        <v>ABS</v>
      </c>
      <c r="R119" s="37" t="str">
        <f>INPUT!Y119</f>
        <v>ABS</v>
      </c>
      <c r="S119" s="37" t="str">
        <f>INPUT!AA119</f>
        <v>ABS</v>
      </c>
      <c r="T119" s="38" t="str">
        <f>INPUT!Z119</f>
        <v>ABS</v>
      </c>
      <c r="U119" s="209">
        <f>INPUT!AB119</f>
        <v>0</v>
      </c>
      <c r="V119" s="37" t="str">
        <f>INPUT!AD119</f>
        <v>ABS</v>
      </c>
      <c r="W119" s="37" t="str">
        <f>INPUT!AF119</f>
        <v>ABS</v>
      </c>
      <c r="X119" s="37" t="str">
        <f>INPUT!AH119</f>
        <v>ABS</v>
      </c>
      <c r="Y119" s="46" t="str">
        <f>INPUT!AG119</f>
        <v>ABS</v>
      </c>
      <c r="Z119" s="209">
        <f>INPUT!AI119</f>
        <v>0</v>
      </c>
      <c r="AA119" s="37" t="str">
        <f>INPUT!AK119</f>
        <v>ABS</v>
      </c>
      <c r="AB119" s="37" t="str">
        <f>INPUT!AM119</f>
        <v>ABS</v>
      </c>
      <c r="AC119" s="37" t="str">
        <f>INPUT!AO119</f>
        <v>ABS</v>
      </c>
      <c r="AD119" s="46" t="str">
        <f>INPUT!AN119</f>
        <v>ABS</v>
      </c>
      <c r="AE119" s="204">
        <f>INPUT!AP119</f>
        <v>0</v>
      </c>
      <c r="AF119" s="37" t="str">
        <f>INPUT!AR119</f>
        <v>ABS</v>
      </c>
      <c r="AG119" s="37" t="str">
        <f>INPUT!AT119</f>
        <v>ABS</v>
      </c>
      <c r="AH119" s="37" t="str">
        <f>INPUT!AV119</f>
        <v>ABS</v>
      </c>
      <c r="AI119" s="38" t="str">
        <f>INPUT!AU119</f>
        <v>ABS</v>
      </c>
      <c r="AJ119" s="40" t="str">
        <f t="shared" si="4"/>
        <v>-</v>
      </c>
      <c r="AK119" s="211">
        <f>INPUT!AX119</f>
        <v>0</v>
      </c>
      <c r="AL119" s="37" t="str">
        <f>INPUT!AZ119</f>
        <v>ABS</v>
      </c>
      <c r="AM119" s="37" t="str">
        <f>INPUT!BB119</f>
        <v>ABS</v>
      </c>
      <c r="AN119" s="37" t="str">
        <f>INPUT!BD119</f>
        <v>ABS</v>
      </c>
      <c r="AO119" s="212" t="str">
        <f>INPUT!BC119</f>
        <v>ABS</v>
      </c>
      <c r="AP119" s="41" t="str">
        <f t="shared" si="5"/>
        <v/>
      </c>
      <c r="AQ119" s="41" t="str">
        <f t="shared" si="6"/>
        <v>ABS</v>
      </c>
      <c r="AR119" s="41" t="str">
        <f t="shared" si="7"/>
        <v/>
      </c>
      <c r="AS119" s="30"/>
      <c r="AT119" s="30"/>
      <c r="AU119" s="30"/>
      <c r="AV119" s="30"/>
      <c r="AX119" s="114" t="str">
        <f>AJ119&amp;"_"&amp;COUNTIF($AJ$5:AJ119,AJ119)</f>
        <v>-_109</v>
      </c>
    </row>
    <row r="120" spans="1:50">
      <c r="A120" s="112"/>
      <c r="B120" s="44">
        <f>INPUT!F120</f>
        <v>0</v>
      </c>
      <c r="C120" s="50">
        <f>INPUT!C120</f>
        <v>0</v>
      </c>
      <c r="D120" s="130">
        <f>INPUT!D120</f>
        <v>0</v>
      </c>
      <c r="E120" s="51">
        <f>INPUT!E120</f>
        <v>0</v>
      </c>
      <c r="F120" s="39" t="str">
        <f>INPUT!G120</f>
        <v>0011</v>
      </c>
      <c r="G120" s="37" t="str">
        <f>INPUT!I120</f>
        <v>ABS</v>
      </c>
      <c r="H120" s="37" t="str">
        <f>INPUT!K120</f>
        <v>ABS</v>
      </c>
      <c r="I120" s="37" t="str">
        <f>INPUT!M120</f>
        <v>ABS</v>
      </c>
      <c r="J120" s="38" t="str">
        <f>INPUT!L120</f>
        <v>ABS</v>
      </c>
      <c r="K120" s="205" t="str">
        <f>INPUT!N120</f>
        <v>0031</v>
      </c>
      <c r="L120" s="37" t="str">
        <f>INPUT!P120</f>
        <v>ABS</v>
      </c>
      <c r="M120" s="37" t="str">
        <f>INPUT!R120</f>
        <v>ABS</v>
      </c>
      <c r="N120" s="37" t="str">
        <f>INPUT!T120</f>
        <v>ABS</v>
      </c>
      <c r="O120" s="46" t="str">
        <f>INPUT!S120</f>
        <v>ABS</v>
      </c>
      <c r="P120" s="202" t="str">
        <f>INPUT!U120</f>
        <v>0051</v>
      </c>
      <c r="Q120" s="37" t="str">
        <f>INPUT!W120</f>
        <v>ABS</v>
      </c>
      <c r="R120" s="37" t="str">
        <f>INPUT!Y120</f>
        <v>ABS</v>
      </c>
      <c r="S120" s="37" t="str">
        <f>INPUT!AA120</f>
        <v>ABS</v>
      </c>
      <c r="T120" s="38" t="str">
        <f>INPUT!Z120</f>
        <v>ABS</v>
      </c>
      <c r="U120" s="209">
        <f>INPUT!AB120</f>
        <v>0</v>
      </c>
      <c r="V120" s="37" t="str">
        <f>INPUT!AD120</f>
        <v>ABS</v>
      </c>
      <c r="W120" s="37" t="str">
        <f>INPUT!AF120</f>
        <v>ABS</v>
      </c>
      <c r="X120" s="37" t="str">
        <f>INPUT!AH120</f>
        <v>ABS</v>
      </c>
      <c r="Y120" s="46" t="str">
        <f>INPUT!AG120</f>
        <v>ABS</v>
      </c>
      <c r="Z120" s="209">
        <f>INPUT!AI120</f>
        <v>0</v>
      </c>
      <c r="AA120" s="37" t="str">
        <f>INPUT!AK120</f>
        <v>ABS</v>
      </c>
      <c r="AB120" s="37" t="str">
        <f>INPUT!AM120</f>
        <v>ABS</v>
      </c>
      <c r="AC120" s="37" t="str">
        <f>INPUT!AO120</f>
        <v>ABS</v>
      </c>
      <c r="AD120" s="46" t="str">
        <f>INPUT!AN120</f>
        <v>ABS</v>
      </c>
      <c r="AE120" s="204">
        <f>INPUT!AP120</f>
        <v>0</v>
      </c>
      <c r="AF120" s="37" t="str">
        <f>INPUT!AR120</f>
        <v>ABS</v>
      </c>
      <c r="AG120" s="37" t="str">
        <f>INPUT!AT120</f>
        <v>ABS</v>
      </c>
      <c r="AH120" s="37" t="str">
        <f>INPUT!AV120</f>
        <v>ABS</v>
      </c>
      <c r="AI120" s="38" t="str">
        <f>INPUT!AU120</f>
        <v>ABS</v>
      </c>
      <c r="AJ120" s="40" t="str">
        <f t="shared" si="4"/>
        <v>-</v>
      </c>
      <c r="AK120" s="211">
        <f>INPUT!AX120</f>
        <v>0</v>
      </c>
      <c r="AL120" s="37" t="str">
        <f>INPUT!AZ120</f>
        <v>ABS</v>
      </c>
      <c r="AM120" s="37" t="str">
        <f>INPUT!BB120</f>
        <v>ABS</v>
      </c>
      <c r="AN120" s="37" t="str">
        <f>INPUT!BD120</f>
        <v>ABS</v>
      </c>
      <c r="AO120" s="212" t="str">
        <f>INPUT!BC120</f>
        <v>ABS</v>
      </c>
      <c r="AP120" s="41" t="str">
        <f t="shared" si="5"/>
        <v/>
      </c>
      <c r="AQ120" s="41" t="str">
        <f t="shared" si="6"/>
        <v>ABS</v>
      </c>
      <c r="AR120" s="41" t="str">
        <f t="shared" si="7"/>
        <v/>
      </c>
      <c r="AS120" s="30"/>
      <c r="AT120" s="30"/>
      <c r="AU120" s="30"/>
      <c r="AV120" s="30"/>
      <c r="AX120" s="114" t="str">
        <f>AJ120&amp;"_"&amp;COUNTIF($AJ$5:AJ120,AJ120)</f>
        <v>-_110</v>
      </c>
    </row>
    <row r="121" spans="1:50">
      <c r="A121" s="112"/>
      <c r="B121" s="44">
        <f>INPUT!F121</f>
        <v>0</v>
      </c>
      <c r="C121" s="50">
        <f>INPUT!C121</f>
        <v>0</v>
      </c>
      <c r="D121" s="130">
        <f>INPUT!D121</f>
        <v>0</v>
      </c>
      <c r="E121" s="51">
        <f>INPUT!E121</f>
        <v>0</v>
      </c>
      <c r="F121" s="39" t="str">
        <f>INPUT!G121</f>
        <v>0011</v>
      </c>
      <c r="G121" s="37" t="str">
        <f>INPUT!I121</f>
        <v>ABS</v>
      </c>
      <c r="H121" s="37" t="str">
        <f>INPUT!K121</f>
        <v>ABS</v>
      </c>
      <c r="I121" s="37" t="str">
        <f>INPUT!M121</f>
        <v>ABS</v>
      </c>
      <c r="J121" s="38" t="str">
        <f>INPUT!L121</f>
        <v>ABS</v>
      </c>
      <c r="K121" s="205" t="str">
        <f>INPUT!N121</f>
        <v>0031</v>
      </c>
      <c r="L121" s="37" t="str">
        <f>INPUT!P121</f>
        <v>ABS</v>
      </c>
      <c r="M121" s="37" t="str">
        <f>INPUT!R121</f>
        <v>ABS</v>
      </c>
      <c r="N121" s="37" t="str">
        <f>INPUT!T121</f>
        <v>ABS</v>
      </c>
      <c r="O121" s="46" t="str">
        <f>INPUT!S121</f>
        <v>ABS</v>
      </c>
      <c r="P121" s="202" t="str">
        <f>INPUT!U121</f>
        <v>0051</v>
      </c>
      <c r="Q121" s="37" t="str">
        <f>INPUT!W121</f>
        <v>ABS</v>
      </c>
      <c r="R121" s="37" t="str">
        <f>INPUT!Y121</f>
        <v>ABS</v>
      </c>
      <c r="S121" s="37" t="str">
        <f>INPUT!AA121</f>
        <v>ABS</v>
      </c>
      <c r="T121" s="38" t="str">
        <f>INPUT!Z121</f>
        <v>ABS</v>
      </c>
      <c r="U121" s="209">
        <f>INPUT!AB121</f>
        <v>0</v>
      </c>
      <c r="V121" s="37" t="str">
        <f>INPUT!AD121</f>
        <v>ABS</v>
      </c>
      <c r="W121" s="37" t="str">
        <f>INPUT!AF121</f>
        <v>ABS</v>
      </c>
      <c r="X121" s="37" t="str">
        <f>INPUT!AH121</f>
        <v>ABS</v>
      </c>
      <c r="Y121" s="46" t="str">
        <f>INPUT!AG121</f>
        <v>ABS</v>
      </c>
      <c r="Z121" s="209">
        <f>INPUT!AI121</f>
        <v>0</v>
      </c>
      <c r="AA121" s="37" t="str">
        <f>INPUT!AK121</f>
        <v>ABS</v>
      </c>
      <c r="AB121" s="37" t="str">
        <f>INPUT!AM121</f>
        <v>ABS</v>
      </c>
      <c r="AC121" s="37" t="str">
        <f>INPUT!AO121</f>
        <v>ABS</v>
      </c>
      <c r="AD121" s="46" t="str">
        <f>INPUT!AN121</f>
        <v>ABS</v>
      </c>
      <c r="AE121" s="204">
        <f>INPUT!AP121</f>
        <v>0</v>
      </c>
      <c r="AF121" s="37" t="str">
        <f>INPUT!AR121</f>
        <v>ABS</v>
      </c>
      <c r="AG121" s="37" t="str">
        <f>INPUT!AT121</f>
        <v>ABS</v>
      </c>
      <c r="AH121" s="37" t="str">
        <f>INPUT!AV121</f>
        <v>ABS</v>
      </c>
      <c r="AI121" s="38" t="str">
        <f>INPUT!AU121</f>
        <v>ABS</v>
      </c>
      <c r="AJ121" s="40" t="str">
        <f t="shared" si="4"/>
        <v>-</v>
      </c>
      <c r="AK121" s="211">
        <f>INPUT!AX121</f>
        <v>0</v>
      </c>
      <c r="AL121" s="37" t="str">
        <f>INPUT!AZ121</f>
        <v>ABS</v>
      </c>
      <c r="AM121" s="37" t="str">
        <f>INPUT!BB121</f>
        <v>ABS</v>
      </c>
      <c r="AN121" s="37" t="str">
        <f>INPUT!BD121</f>
        <v>ABS</v>
      </c>
      <c r="AO121" s="212" t="str">
        <f>INPUT!BC121</f>
        <v>ABS</v>
      </c>
      <c r="AP121" s="41" t="str">
        <f t="shared" si="5"/>
        <v/>
      </c>
      <c r="AQ121" s="41" t="str">
        <f t="shared" si="6"/>
        <v>ABS</v>
      </c>
      <c r="AR121" s="41" t="str">
        <f t="shared" si="7"/>
        <v/>
      </c>
      <c r="AS121" s="30"/>
      <c r="AT121" s="30"/>
      <c r="AU121" s="30"/>
      <c r="AV121" s="30"/>
      <c r="AX121" s="114" t="str">
        <f>AJ121&amp;"_"&amp;COUNTIF($AJ$5:AJ121,AJ121)</f>
        <v>-_111</v>
      </c>
    </row>
    <row r="122" spans="1:50">
      <c r="A122" s="112"/>
      <c r="B122" s="44">
        <f>INPUT!F122</f>
        <v>0</v>
      </c>
      <c r="C122" s="50">
        <f>INPUT!C122</f>
        <v>0</v>
      </c>
      <c r="D122" s="130">
        <f>INPUT!D122</f>
        <v>0</v>
      </c>
      <c r="E122" s="51">
        <f>INPUT!E122</f>
        <v>0</v>
      </c>
      <c r="F122" s="39" t="str">
        <f>INPUT!G122</f>
        <v>0011</v>
      </c>
      <c r="G122" s="37" t="str">
        <f>INPUT!I122</f>
        <v>ABS</v>
      </c>
      <c r="H122" s="37" t="str">
        <f>INPUT!K122</f>
        <v>ABS</v>
      </c>
      <c r="I122" s="37" t="str">
        <f>INPUT!M122</f>
        <v>ABS</v>
      </c>
      <c r="J122" s="38" t="str">
        <f>INPUT!L122</f>
        <v>ABS</v>
      </c>
      <c r="K122" s="205" t="str">
        <f>INPUT!N122</f>
        <v>0031</v>
      </c>
      <c r="L122" s="37" t="str">
        <f>INPUT!P122</f>
        <v>ABS</v>
      </c>
      <c r="M122" s="37" t="str">
        <f>INPUT!R122</f>
        <v>ABS</v>
      </c>
      <c r="N122" s="37" t="str">
        <f>INPUT!T122</f>
        <v>ABS</v>
      </c>
      <c r="O122" s="46" t="str">
        <f>INPUT!S122</f>
        <v>ABS</v>
      </c>
      <c r="P122" s="202" t="str">
        <f>INPUT!U122</f>
        <v>0051</v>
      </c>
      <c r="Q122" s="37" t="str">
        <f>INPUT!W122</f>
        <v>ABS</v>
      </c>
      <c r="R122" s="37" t="str">
        <f>INPUT!Y122</f>
        <v>ABS</v>
      </c>
      <c r="S122" s="37" t="str">
        <f>INPUT!AA122</f>
        <v>ABS</v>
      </c>
      <c r="T122" s="38" t="str">
        <f>INPUT!Z122</f>
        <v>ABS</v>
      </c>
      <c r="U122" s="209">
        <f>INPUT!AB122</f>
        <v>0</v>
      </c>
      <c r="V122" s="37" t="str">
        <f>INPUT!AD122</f>
        <v>ABS</v>
      </c>
      <c r="W122" s="37" t="str">
        <f>INPUT!AF122</f>
        <v>ABS</v>
      </c>
      <c r="X122" s="37" t="str">
        <f>INPUT!AH122</f>
        <v>ABS</v>
      </c>
      <c r="Y122" s="46" t="str">
        <f>INPUT!AG122</f>
        <v>ABS</v>
      </c>
      <c r="Z122" s="209">
        <f>INPUT!AI122</f>
        <v>0</v>
      </c>
      <c r="AA122" s="37" t="str">
        <f>INPUT!AK122</f>
        <v>ABS</v>
      </c>
      <c r="AB122" s="37" t="str">
        <f>INPUT!AM122</f>
        <v>ABS</v>
      </c>
      <c r="AC122" s="37" t="str">
        <f>INPUT!AO122</f>
        <v>ABS</v>
      </c>
      <c r="AD122" s="46" t="str">
        <f>INPUT!AN122</f>
        <v>ABS</v>
      </c>
      <c r="AE122" s="204">
        <f>INPUT!AP122</f>
        <v>0</v>
      </c>
      <c r="AF122" s="37" t="str">
        <f>INPUT!AR122</f>
        <v>ABS</v>
      </c>
      <c r="AG122" s="37" t="str">
        <f>INPUT!AT122</f>
        <v>ABS</v>
      </c>
      <c r="AH122" s="37" t="str">
        <f>INPUT!AV122</f>
        <v>ABS</v>
      </c>
      <c r="AI122" s="38" t="str">
        <f>INPUT!AU122</f>
        <v>ABS</v>
      </c>
      <c r="AJ122" s="40" t="str">
        <f t="shared" si="4"/>
        <v>-</v>
      </c>
      <c r="AK122" s="211">
        <f>INPUT!AX122</f>
        <v>0</v>
      </c>
      <c r="AL122" s="37" t="str">
        <f>INPUT!AZ122</f>
        <v>ABS</v>
      </c>
      <c r="AM122" s="37" t="str">
        <f>INPUT!BB122</f>
        <v>ABS</v>
      </c>
      <c r="AN122" s="37" t="str">
        <f>INPUT!BD122</f>
        <v>ABS</v>
      </c>
      <c r="AO122" s="212" t="str">
        <f>INPUT!BC122</f>
        <v>ABS</v>
      </c>
      <c r="AP122" s="41" t="str">
        <f t="shared" si="5"/>
        <v/>
      </c>
      <c r="AQ122" s="41" t="str">
        <f t="shared" si="6"/>
        <v>ABS</v>
      </c>
      <c r="AR122" s="41" t="str">
        <f t="shared" si="7"/>
        <v/>
      </c>
      <c r="AS122" s="30"/>
      <c r="AT122" s="30"/>
      <c r="AU122" s="30"/>
      <c r="AV122" s="30"/>
      <c r="AX122" s="114" t="str">
        <f>AJ122&amp;"_"&amp;COUNTIF($AJ$5:AJ122,AJ122)</f>
        <v>-_112</v>
      </c>
    </row>
    <row r="123" spans="1:50">
      <c r="A123" s="112"/>
      <c r="B123" s="44">
        <f>INPUT!F123</f>
        <v>0</v>
      </c>
      <c r="C123" s="50">
        <f>INPUT!C123</f>
        <v>0</v>
      </c>
      <c r="D123" s="130">
        <f>INPUT!D123</f>
        <v>0</v>
      </c>
      <c r="E123" s="51">
        <f>INPUT!E123</f>
        <v>0</v>
      </c>
      <c r="F123" s="39" t="str">
        <f>INPUT!G123</f>
        <v>0011</v>
      </c>
      <c r="G123" s="37" t="str">
        <f>INPUT!I123</f>
        <v>ABS</v>
      </c>
      <c r="H123" s="37" t="str">
        <f>INPUT!K123</f>
        <v>ABS</v>
      </c>
      <c r="I123" s="37" t="str">
        <f>INPUT!M123</f>
        <v>ABS</v>
      </c>
      <c r="J123" s="38" t="str">
        <f>INPUT!L123</f>
        <v>ABS</v>
      </c>
      <c r="K123" s="205" t="str">
        <f>INPUT!N123</f>
        <v>0031</v>
      </c>
      <c r="L123" s="37" t="str">
        <f>INPUT!P123</f>
        <v>ABS</v>
      </c>
      <c r="M123" s="37" t="str">
        <f>INPUT!R123</f>
        <v>ABS</v>
      </c>
      <c r="N123" s="37" t="str">
        <f>INPUT!T123</f>
        <v>ABS</v>
      </c>
      <c r="O123" s="46" t="str">
        <f>INPUT!S123</f>
        <v>ABS</v>
      </c>
      <c r="P123" s="202" t="str">
        <f>INPUT!U123</f>
        <v>0051</v>
      </c>
      <c r="Q123" s="37" t="str">
        <f>INPUT!W123</f>
        <v>ABS</v>
      </c>
      <c r="R123" s="37" t="str">
        <f>INPUT!Y123</f>
        <v>ABS</v>
      </c>
      <c r="S123" s="37" t="str">
        <f>INPUT!AA123</f>
        <v>ABS</v>
      </c>
      <c r="T123" s="38" t="str">
        <f>INPUT!Z123</f>
        <v>ABS</v>
      </c>
      <c r="U123" s="209">
        <f>INPUT!AB123</f>
        <v>0</v>
      </c>
      <c r="V123" s="37" t="str">
        <f>INPUT!AD123</f>
        <v>ABS</v>
      </c>
      <c r="W123" s="37" t="str">
        <f>INPUT!AF123</f>
        <v>ABS</v>
      </c>
      <c r="X123" s="37" t="str">
        <f>INPUT!AH123</f>
        <v>ABS</v>
      </c>
      <c r="Y123" s="46" t="str">
        <f>INPUT!AG123</f>
        <v>ABS</v>
      </c>
      <c r="Z123" s="209">
        <f>INPUT!AI123</f>
        <v>0</v>
      </c>
      <c r="AA123" s="37" t="str">
        <f>INPUT!AK123</f>
        <v>ABS</v>
      </c>
      <c r="AB123" s="37" t="str">
        <f>INPUT!AM123</f>
        <v>ABS</v>
      </c>
      <c r="AC123" s="37" t="str">
        <f>INPUT!AO123</f>
        <v>ABS</v>
      </c>
      <c r="AD123" s="46" t="str">
        <f>INPUT!AN123</f>
        <v>ABS</v>
      </c>
      <c r="AE123" s="204">
        <f>INPUT!AP123</f>
        <v>0</v>
      </c>
      <c r="AF123" s="37" t="str">
        <f>INPUT!AR123</f>
        <v>ABS</v>
      </c>
      <c r="AG123" s="37" t="str">
        <f>INPUT!AT123</f>
        <v>ABS</v>
      </c>
      <c r="AH123" s="37" t="str">
        <f>INPUT!AV123</f>
        <v>ABS</v>
      </c>
      <c r="AI123" s="38" t="str">
        <f>INPUT!AU123</f>
        <v>ABS</v>
      </c>
      <c r="AJ123" s="40" t="str">
        <f t="shared" si="4"/>
        <v>-</v>
      </c>
      <c r="AK123" s="211">
        <f>INPUT!AX123</f>
        <v>0</v>
      </c>
      <c r="AL123" s="37" t="str">
        <f>INPUT!AZ123</f>
        <v>ABS</v>
      </c>
      <c r="AM123" s="37" t="str">
        <f>INPUT!BB123</f>
        <v>ABS</v>
      </c>
      <c r="AN123" s="37" t="str">
        <f>INPUT!BD123</f>
        <v>ABS</v>
      </c>
      <c r="AO123" s="212" t="str">
        <f>INPUT!BC123</f>
        <v>ABS</v>
      </c>
      <c r="AP123" s="41" t="str">
        <f t="shared" si="5"/>
        <v/>
      </c>
      <c r="AQ123" s="41" t="str">
        <f t="shared" si="6"/>
        <v>ABS</v>
      </c>
      <c r="AR123" s="41" t="str">
        <f t="shared" si="7"/>
        <v/>
      </c>
      <c r="AS123" s="30"/>
      <c r="AT123" s="30"/>
      <c r="AU123" s="30"/>
      <c r="AV123" s="30"/>
      <c r="AX123" s="114" t="str">
        <f>AJ123&amp;"_"&amp;COUNTIF($AJ$5:AJ123,AJ123)</f>
        <v>-_113</v>
      </c>
    </row>
    <row r="124" spans="1:50">
      <c r="A124" s="112"/>
      <c r="B124" s="44">
        <f>INPUT!F124</f>
        <v>0</v>
      </c>
      <c r="C124" s="50">
        <f>INPUT!C124</f>
        <v>0</v>
      </c>
      <c r="D124" s="130">
        <f>INPUT!D124</f>
        <v>0</v>
      </c>
      <c r="E124" s="51">
        <f>INPUT!E124</f>
        <v>0</v>
      </c>
      <c r="F124" s="39" t="str">
        <f>INPUT!G124</f>
        <v>0011</v>
      </c>
      <c r="G124" s="37" t="str">
        <f>INPUT!I124</f>
        <v>ABS</v>
      </c>
      <c r="H124" s="37" t="str">
        <f>INPUT!K124</f>
        <v>ABS</v>
      </c>
      <c r="I124" s="37" t="str">
        <f>INPUT!M124</f>
        <v>ABS</v>
      </c>
      <c r="J124" s="38" t="str">
        <f>INPUT!L124</f>
        <v>ABS</v>
      </c>
      <c r="K124" s="205" t="str">
        <f>INPUT!N124</f>
        <v>0031</v>
      </c>
      <c r="L124" s="37" t="str">
        <f>INPUT!P124</f>
        <v>ABS</v>
      </c>
      <c r="M124" s="37" t="str">
        <f>INPUT!R124</f>
        <v>ABS</v>
      </c>
      <c r="N124" s="37" t="str">
        <f>INPUT!T124</f>
        <v>ABS</v>
      </c>
      <c r="O124" s="46" t="str">
        <f>INPUT!S124</f>
        <v>ABS</v>
      </c>
      <c r="P124" s="202" t="str">
        <f>INPUT!U124</f>
        <v>0051</v>
      </c>
      <c r="Q124" s="37" t="str">
        <f>INPUT!W124</f>
        <v>ABS</v>
      </c>
      <c r="R124" s="37" t="str">
        <f>INPUT!Y124</f>
        <v>ABS</v>
      </c>
      <c r="S124" s="37" t="str">
        <f>INPUT!AA124</f>
        <v>ABS</v>
      </c>
      <c r="T124" s="38" t="str">
        <f>INPUT!Z124</f>
        <v>ABS</v>
      </c>
      <c r="U124" s="209">
        <f>INPUT!AB124</f>
        <v>0</v>
      </c>
      <c r="V124" s="37" t="str">
        <f>INPUT!AD124</f>
        <v>ABS</v>
      </c>
      <c r="W124" s="37" t="str">
        <f>INPUT!AF124</f>
        <v>ABS</v>
      </c>
      <c r="X124" s="37" t="str">
        <f>INPUT!AH124</f>
        <v>ABS</v>
      </c>
      <c r="Y124" s="46" t="str">
        <f>INPUT!AG124</f>
        <v>ABS</v>
      </c>
      <c r="Z124" s="209">
        <f>INPUT!AI124</f>
        <v>0</v>
      </c>
      <c r="AA124" s="37" t="str">
        <f>INPUT!AK124</f>
        <v>ABS</v>
      </c>
      <c r="AB124" s="37" t="str">
        <f>INPUT!AM124</f>
        <v>ABS</v>
      </c>
      <c r="AC124" s="37" t="str">
        <f>INPUT!AO124</f>
        <v>ABS</v>
      </c>
      <c r="AD124" s="46" t="str">
        <f>INPUT!AN124</f>
        <v>ABS</v>
      </c>
      <c r="AE124" s="204">
        <f>INPUT!AP124</f>
        <v>0</v>
      </c>
      <c r="AF124" s="37" t="str">
        <f>INPUT!AR124</f>
        <v>ABS</v>
      </c>
      <c r="AG124" s="37" t="str">
        <f>INPUT!AT124</f>
        <v>ABS</v>
      </c>
      <c r="AH124" s="37" t="str">
        <f>INPUT!AV124</f>
        <v>ABS</v>
      </c>
      <c r="AI124" s="38" t="str">
        <f>INPUT!AU124</f>
        <v>ABS</v>
      </c>
      <c r="AJ124" s="40" t="str">
        <f t="shared" si="4"/>
        <v>-</v>
      </c>
      <c r="AK124" s="211">
        <f>INPUT!AX124</f>
        <v>0</v>
      </c>
      <c r="AL124" s="37" t="str">
        <f>INPUT!AZ124</f>
        <v>ABS</v>
      </c>
      <c r="AM124" s="37" t="str">
        <f>INPUT!BB124</f>
        <v>ABS</v>
      </c>
      <c r="AN124" s="37" t="str">
        <f>INPUT!BD124</f>
        <v>ABS</v>
      </c>
      <c r="AO124" s="212" t="str">
        <f>INPUT!BC124</f>
        <v>ABS</v>
      </c>
      <c r="AP124" s="41" t="str">
        <f t="shared" si="5"/>
        <v/>
      </c>
      <c r="AQ124" s="41" t="str">
        <f t="shared" si="6"/>
        <v>ABS</v>
      </c>
      <c r="AR124" s="41" t="str">
        <f t="shared" si="7"/>
        <v/>
      </c>
      <c r="AS124" s="30"/>
      <c r="AT124" s="30"/>
      <c r="AU124" s="30"/>
      <c r="AV124" s="30"/>
      <c r="AX124" s="114" t="str">
        <f>AJ124&amp;"_"&amp;COUNTIF($AJ$5:AJ124,AJ124)</f>
        <v>-_114</v>
      </c>
    </row>
    <row r="125" spans="1:50">
      <c r="A125" s="112"/>
      <c r="B125" s="44">
        <f>INPUT!F125</f>
        <v>0</v>
      </c>
      <c r="C125" s="50">
        <f>INPUT!C125</f>
        <v>0</v>
      </c>
      <c r="D125" s="50">
        <f>INPUT!D125</f>
        <v>0</v>
      </c>
      <c r="E125" s="51">
        <f>INPUT!E125</f>
        <v>0</v>
      </c>
      <c r="F125" s="39" t="str">
        <f>INPUT!G125</f>
        <v>0011</v>
      </c>
      <c r="G125" s="37" t="str">
        <f>INPUT!I125</f>
        <v>ABS</v>
      </c>
      <c r="H125" s="37" t="str">
        <f>INPUT!K125</f>
        <v>ABS</v>
      </c>
      <c r="I125" s="37" t="str">
        <f>INPUT!M125</f>
        <v>ABS</v>
      </c>
      <c r="J125" s="38" t="str">
        <f>INPUT!L125</f>
        <v>ABS</v>
      </c>
      <c r="K125" s="205" t="str">
        <f>INPUT!N125</f>
        <v>0031</v>
      </c>
      <c r="L125" s="37" t="str">
        <f>INPUT!P125</f>
        <v>ABS</v>
      </c>
      <c r="M125" s="37" t="str">
        <f>INPUT!R125</f>
        <v>ABS</v>
      </c>
      <c r="N125" s="37" t="str">
        <f>INPUT!T125</f>
        <v>ABS</v>
      </c>
      <c r="O125" s="46" t="str">
        <f>INPUT!S125</f>
        <v>ABS</v>
      </c>
      <c r="P125" s="202" t="str">
        <f>INPUT!U125</f>
        <v>0051</v>
      </c>
      <c r="Q125" s="37" t="str">
        <f>INPUT!W125</f>
        <v>ABS</v>
      </c>
      <c r="R125" s="37" t="str">
        <f>INPUT!Y125</f>
        <v>ABS</v>
      </c>
      <c r="S125" s="37" t="str">
        <f>INPUT!AA125</f>
        <v>ABS</v>
      </c>
      <c r="T125" s="38" t="str">
        <f>INPUT!Z125</f>
        <v>ABS</v>
      </c>
      <c r="U125" s="209">
        <f>INPUT!AB125</f>
        <v>0</v>
      </c>
      <c r="V125" s="37" t="str">
        <f>INPUT!AD125</f>
        <v>ABS</v>
      </c>
      <c r="W125" s="37" t="str">
        <f>INPUT!AF125</f>
        <v>ABS</v>
      </c>
      <c r="X125" s="37" t="str">
        <f>INPUT!AH125</f>
        <v>ABS</v>
      </c>
      <c r="Y125" s="46" t="str">
        <f>INPUT!AG125</f>
        <v>ABS</v>
      </c>
      <c r="Z125" s="209">
        <f>INPUT!AI125</f>
        <v>0</v>
      </c>
      <c r="AA125" s="37" t="str">
        <f>INPUT!AK125</f>
        <v>ABS</v>
      </c>
      <c r="AB125" s="37" t="str">
        <f>INPUT!AM125</f>
        <v>ABS</v>
      </c>
      <c r="AC125" s="37" t="str">
        <f>INPUT!AO125</f>
        <v>ABS</v>
      </c>
      <c r="AD125" s="46" t="str">
        <f>INPUT!AN125</f>
        <v>ABS</v>
      </c>
      <c r="AE125" s="204">
        <f>INPUT!AP125</f>
        <v>0</v>
      </c>
      <c r="AF125" s="37" t="str">
        <f>INPUT!AR125</f>
        <v>ABS</v>
      </c>
      <c r="AG125" s="37" t="str">
        <f>INPUT!AT125</f>
        <v>ABS</v>
      </c>
      <c r="AH125" s="37" t="str">
        <f>INPUT!AV125</f>
        <v>ABS</v>
      </c>
      <c r="AI125" s="38" t="str">
        <f>INPUT!AU125</f>
        <v>ABS</v>
      </c>
      <c r="AJ125" s="40" t="str">
        <f t="shared" si="4"/>
        <v>-</v>
      </c>
      <c r="AK125" s="211">
        <f>INPUT!AX125</f>
        <v>0</v>
      </c>
      <c r="AL125" s="37" t="str">
        <f>INPUT!AZ125</f>
        <v>ABS</v>
      </c>
      <c r="AM125" s="37" t="str">
        <f>INPUT!BB125</f>
        <v>ABS</v>
      </c>
      <c r="AN125" s="37" t="str">
        <f>INPUT!BD125</f>
        <v>ABS</v>
      </c>
      <c r="AO125" s="212" t="str">
        <f>INPUT!BC125</f>
        <v>ABS</v>
      </c>
      <c r="AP125" s="41" t="str">
        <f t="shared" si="5"/>
        <v/>
      </c>
      <c r="AQ125" s="41" t="str">
        <f t="shared" si="6"/>
        <v>ABS</v>
      </c>
      <c r="AR125" s="41" t="str">
        <f t="shared" si="7"/>
        <v/>
      </c>
      <c r="AS125" s="30"/>
      <c r="AT125" s="30"/>
      <c r="AU125" s="30"/>
      <c r="AV125" s="30"/>
      <c r="AX125" s="114" t="str">
        <f>AJ125&amp;"_"&amp;COUNTIF($AJ$5:AJ125,AJ125)</f>
        <v>-_115</v>
      </c>
    </row>
    <row r="126" spans="1:50">
      <c r="A126" s="112"/>
      <c r="B126" s="44">
        <f>INPUT!F126</f>
        <v>0</v>
      </c>
      <c r="C126" s="50">
        <f>INPUT!C126</f>
        <v>0</v>
      </c>
      <c r="D126" s="50">
        <f>INPUT!D126</f>
        <v>0</v>
      </c>
      <c r="E126" s="51">
        <f>INPUT!E126</f>
        <v>0</v>
      </c>
      <c r="F126" s="39" t="str">
        <f>INPUT!G126</f>
        <v>0011</v>
      </c>
      <c r="G126" s="37" t="str">
        <f>INPUT!I126</f>
        <v>ABS</v>
      </c>
      <c r="H126" s="37" t="str">
        <f>INPUT!K126</f>
        <v>ABS</v>
      </c>
      <c r="I126" s="37" t="str">
        <f>INPUT!M126</f>
        <v>ABS</v>
      </c>
      <c r="J126" s="38" t="str">
        <f>INPUT!L126</f>
        <v>ABS</v>
      </c>
      <c r="K126" s="205" t="str">
        <f>INPUT!N126</f>
        <v>0031</v>
      </c>
      <c r="L126" s="37" t="str">
        <f>INPUT!P126</f>
        <v>ABS</v>
      </c>
      <c r="M126" s="37" t="str">
        <f>INPUT!R126</f>
        <v>ABS</v>
      </c>
      <c r="N126" s="37" t="str">
        <f>INPUT!T126</f>
        <v>ABS</v>
      </c>
      <c r="O126" s="46" t="str">
        <f>INPUT!S126</f>
        <v>ABS</v>
      </c>
      <c r="P126" s="202" t="str">
        <f>INPUT!U126</f>
        <v>0051</v>
      </c>
      <c r="Q126" s="37" t="str">
        <f>INPUT!W126</f>
        <v>ABS</v>
      </c>
      <c r="R126" s="37" t="str">
        <f>INPUT!Y126</f>
        <v>ABS</v>
      </c>
      <c r="S126" s="37" t="str">
        <f>INPUT!AA126</f>
        <v>ABS</v>
      </c>
      <c r="T126" s="38" t="str">
        <f>INPUT!Z126</f>
        <v>ABS</v>
      </c>
      <c r="U126" s="209">
        <f>INPUT!AB126</f>
        <v>0</v>
      </c>
      <c r="V126" s="37" t="str">
        <f>INPUT!AD126</f>
        <v>ABS</v>
      </c>
      <c r="W126" s="37" t="str">
        <f>INPUT!AF126</f>
        <v>ABS</v>
      </c>
      <c r="X126" s="37" t="str">
        <f>INPUT!AH126</f>
        <v>ABS</v>
      </c>
      <c r="Y126" s="46" t="str">
        <f>INPUT!AG126</f>
        <v>ABS</v>
      </c>
      <c r="Z126" s="209">
        <f>INPUT!AI126</f>
        <v>0</v>
      </c>
      <c r="AA126" s="37" t="str">
        <f>INPUT!AK126</f>
        <v>ABS</v>
      </c>
      <c r="AB126" s="37" t="str">
        <f>INPUT!AM126</f>
        <v>ABS</v>
      </c>
      <c r="AC126" s="37" t="str">
        <f>INPUT!AO126</f>
        <v>ABS</v>
      </c>
      <c r="AD126" s="46" t="str">
        <f>INPUT!AN126</f>
        <v>ABS</v>
      </c>
      <c r="AE126" s="204">
        <f>INPUT!AP126</f>
        <v>0</v>
      </c>
      <c r="AF126" s="37" t="str">
        <f>INPUT!AR126</f>
        <v>ABS</v>
      </c>
      <c r="AG126" s="37" t="str">
        <f>INPUT!AT126</f>
        <v>ABS</v>
      </c>
      <c r="AH126" s="37" t="str">
        <f>INPUT!AV126</f>
        <v>ABS</v>
      </c>
      <c r="AI126" s="38" t="str">
        <f>INPUT!AU126</f>
        <v>ABS</v>
      </c>
      <c r="AJ126" s="40" t="str">
        <f t="shared" si="4"/>
        <v>-</v>
      </c>
      <c r="AK126" s="211">
        <f>INPUT!AX126</f>
        <v>0</v>
      </c>
      <c r="AL126" s="37" t="str">
        <f>INPUT!AZ126</f>
        <v>ABS</v>
      </c>
      <c r="AM126" s="37" t="str">
        <f>INPUT!BB126</f>
        <v>ABS</v>
      </c>
      <c r="AN126" s="37" t="str">
        <f>INPUT!BD126</f>
        <v>ABS</v>
      </c>
      <c r="AO126" s="212" t="str">
        <f>INPUT!BC126</f>
        <v>ABS</v>
      </c>
      <c r="AP126" s="41" t="str">
        <f t="shared" si="5"/>
        <v/>
      </c>
      <c r="AQ126" s="41" t="str">
        <f t="shared" si="6"/>
        <v>ABS</v>
      </c>
      <c r="AR126" s="41" t="str">
        <f t="shared" si="7"/>
        <v/>
      </c>
      <c r="AS126" s="30"/>
      <c r="AT126" s="30"/>
      <c r="AU126" s="30"/>
      <c r="AV126" s="30"/>
      <c r="AX126" s="114" t="str">
        <f>AJ126&amp;"_"&amp;COUNTIF($AJ$5:AJ126,AJ126)</f>
        <v>-_116</v>
      </c>
    </row>
    <row r="127" spans="1:50">
      <c r="A127" s="112"/>
      <c r="B127" s="44">
        <f>INPUT!F127</f>
        <v>0</v>
      </c>
      <c r="C127" s="50">
        <f>INPUT!C127</f>
        <v>0</v>
      </c>
      <c r="D127" s="50">
        <f>INPUT!D127</f>
        <v>0</v>
      </c>
      <c r="E127" s="51">
        <f>INPUT!E127</f>
        <v>0</v>
      </c>
      <c r="F127" s="39" t="str">
        <f>INPUT!G127</f>
        <v>0011</v>
      </c>
      <c r="G127" s="37" t="str">
        <f>INPUT!I127</f>
        <v>ABS</v>
      </c>
      <c r="H127" s="37" t="str">
        <f>INPUT!K127</f>
        <v>ABS</v>
      </c>
      <c r="I127" s="37" t="str">
        <f>INPUT!M127</f>
        <v>ABS</v>
      </c>
      <c r="J127" s="38" t="str">
        <f>INPUT!L127</f>
        <v>ABS</v>
      </c>
      <c r="K127" s="205" t="str">
        <f>INPUT!N127</f>
        <v>0031</v>
      </c>
      <c r="L127" s="37" t="str">
        <f>INPUT!P127</f>
        <v>ABS</v>
      </c>
      <c r="M127" s="37" t="str">
        <f>INPUT!R127</f>
        <v>ABS</v>
      </c>
      <c r="N127" s="37" t="str">
        <f>INPUT!T127</f>
        <v>ABS</v>
      </c>
      <c r="O127" s="46" t="str">
        <f>INPUT!S127</f>
        <v>ABS</v>
      </c>
      <c r="P127" s="202" t="str">
        <f>INPUT!U127</f>
        <v>0051</v>
      </c>
      <c r="Q127" s="37" t="str">
        <f>INPUT!W127</f>
        <v>ABS</v>
      </c>
      <c r="R127" s="37" t="str">
        <f>INPUT!Y127</f>
        <v>ABS</v>
      </c>
      <c r="S127" s="37" t="str">
        <f>INPUT!AA127</f>
        <v>ABS</v>
      </c>
      <c r="T127" s="38" t="str">
        <f>INPUT!Z127</f>
        <v>ABS</v>
      </c>
      <c r="U127" s="209">
        <f>INPUT!AB127</f>
        <v>0</v>
      </c>
      <c r="V127" s="37" t="str">
        <f>INPUT!AD127</f>
        <v>ABS</v>
      </c>
      <c r="W127" s="37" t="str">
        <f>INPUT!AF127</f>
        <v>ABS</v>
      </c>
      <c r="X127" s="37" t="str">
        <f>INPUT!AH127</f>
        <v>ABS</v>
      </c>
      <c r="Y127" s="46" t="str">
        <f>INPUT!AG127</f>
        <v>ABS</v>
      </c>
      <c r="Z127" s="209">
        <f>INPUT!AI127</f>
        <v>0</v>
      </c>
      <c r="AA127" s="37" t="str">
        <f>INPUT!AK127</f>
        <v>ABS</v>
      </c>
      <c r="AB127" s="37" t="str">
        <f>INPUT!AM127</f>
        <v>ABS</v>
      </c>
      <c r="AC127" s="37" t="str">
        <f>INPUT!AO127</f>
        <v>ABS</v>
      </c>
      <c r="AD127" s="46" t="str">
        <f>INPUT!AN127</f>
        <v>ABS</v>
      </c>
      <c r="AE127" s="204">
        <f>INPUT!AP127</f>
        <v>0</v>
      </c>
      <c r="AF127" s="37" t="str">
        <f>INPUT!AR127</f>
        <v>ABS</v>
      </c>
      <c r="AG127" s="37" t="str">
        <f>INPUT!AT127</f>
        <v>ABS</v>
      </c>
      <c r="AH127" s="37" t="str">
        <f>INPUT!AV127</f>
        <v>ABS</v>
      </c>
      <c r="AI127" s="38" t="str">
        <f>INPUT!AU127</f>
        <v>ABS</v>
      </c>
      <c r="AJ127" s="40" t="str">
        <f t="shared" si="4"/>
        <v>-</v>
      </c>
      <c r="AK127" s="211">
        <f>INPUT!AX127</f>
        <v>0</v>
      </c>
      <c r="AL127" s="37" t="str">
        <f>INPUT!AZ127</f>
        <v>ABS</v>
      </c>
      <c r="AM127" s="37" t="str">
        <f>INPUT!BB127</f>
        <v>ABS</v>
      </c>
      <c r="AN127" s="37" t="str">
        <f>INPUT!BD127</f>
        <v>ABS</v>
      </c>
      <c r="AO127" s="212" t="str">
        <f>INPUT!BC127</f>
        <v>ABS</v>
      </c>
      <c r="AP127" s="41" t="str">
        <f t="shared" si="5"/>
        <v/>
      </c>
      <c r="AQ127" s="41" t="str">
        <f t="shared" si="6"/>
        <v>ABS</v>
      </c>
      <c r="AR127" s="41" t="str">
        <f t="shared" si="7"/>
        <v/>
      </c>
      <c r="AS127" s="30"/>
      <c r="AT127" s="30"/>
      <c r="AU127" s="30"/>
      <c r="AV127" s="30"/>
      <c r="AX127" s="114" t="str">
        <f>AJ127&amp;"_"&amp;COUNTIF($AJ$5:AJ127,AJ127)</f>
        <v>-_117</v>
      </c>
    </row>
    <row r="128" spans="1:50">
      <c r="A128" s="112"/>
      <c r="B128" s="44">
        <f>INPUT!F128</f>
        <v>0</v>
      </c>
      <c r="C128" s="50">
        <f>INPUT!C128</f>
        <v>0</v>
      </c>
      <c r="D128" s="50">
        <f>INPUT!D128</f>
        <v>0</v>
      </c>
      <c r="E128" s="51">
        <f>INPUT!E128</f>
        <v>0</v>
      </c>
      <c r="F128" s="39" t="str">
        <f>INPUT!G128</f>
        <v>0011</v>
      </c>
      <c r="G128" s="37" t="str">
        <f>INPUT!I128</f>
        <v>ABS</v>
      </c>
      <c r="H128" s="37" t="str">
        <f>INPUT!K128</f>
        <v>ABS</v>
      </c>
      <c r="I128" s="37" t="str">
        <f>INPUT!M128</f>
        <v>ABS</v>
      </c>
      <c r="J128" s="38" t="str">
        <f>INPUT!L128</f>
        <v>ABS</v>
      </c>
      <c r="K128" s="205" t="str">
        <f>INPUT!N128</f>
        <v>0031</v>
      </c>
      <c r="L128" s="37" t="str">
        <f>INPUT!P128</f>
        <v>ABS</v>
      </c>
      <c r="M128" s="37" t="str">
        <f>INPUT!R128</f>
        <v>ABS</v>
      </c>
      <c r="N128" s="37" t="str">
        <f>INPUT!T128</f>
        <v>ABS</v>
      </c>
      <c r="O128" s="46" t="str">
        <f>INPUT!S128</f>
        <v>ABS</v>
      </c>
      <c r="P128" s="202" t="str">
        <f>INPUT!U128</f>
        <v>0051</v>
      </c>
      <c r="Q128" s="37" t="str">
        <f>INPUT!W128</f>
        <v>ABS</v>
      </c>
      <c r="R128" s="37" t="str">
        <f>INPUT!Y128</f>
        <v>ABS</v>
      </c>
      <c r="S128" s="37" t="str">
        <f>INPUT!AA128</f>
        <v>ABS</v>
      </c>
      <c r="T128" s="38" t="str">
        <f>INPUT!Z128</f>
        <v>ABS</v>
      </c>
      <c r="U128" s="209">
        <f>INPUT!AB128</f>
        <v>0</v>
      </c>
      <c r="V128" s="37" t="str">
        <f>INPUT!AD128</f>
        <v>ABS</v>
      </c>
      <c r="W128" s="37" t="str">
        <f>INPUT!AF128</f>
        <v>ABS</v>
      </c>
      <c r="X128" s="37" t="str">
        <f>INPUT!AH128</f>
        <v>ABS</v>
      </c>
      <c r="Y128" s="46" t="str">
        <f>INPUT!AG128</f>
        <v>ABS</v>
      </c>
      <c r="Z128" s="209">
        <f>INPUT!AI128</f>
        <v>0</v>
      </c>
      <c r="AA128" s="37" t="str">
        <f>INPUT!AK128</f>
        <v>ABS</v>
      </c>
      <c r="AB128" s="37" t="str">
        <f>INPUT!AM128</f>
        <v>ABS</v>
      </c>
      <c r="AC128" s="37" t="str">
        <f>INPUT!AO128</f>
        <v>ABS</v>
      </c>
      <c r="AD128" s="46" t="str">
        <f>INPUT!AN128</f>
        <v>ABS</v>
      </c>
      <c r="AE128" s="204">
        <f>INPUT!AP128</f>
        <v>0</v>
      </c>
      <c r="AF128" s="37" t="str">
        <f>INPUT!AR128</f>
        <v>ABS</v>
      </c>
      <c r="AG128" s="37" t="str">
        <f>INPUT!AT128</f>
        <v>ABS</v>
      </c>
      <c r="AH128" s="37" t="str">
        <f>INPUT!AV128</f>
        <v>ABS</v>
      </c>
      <c r="AI128" s="38" t="str">
        <f>INPUT!AU128</f>
        <v>ABS</v>
      </c>
      <c r="AJ128" s="40" t="str">
        <f t="shared" si="4"/>
        <v>-</v>
      </c>
      <c r="AK128" s="211">
        <f>INPUT!AX128</f>
        <v>0</v>
      </c>
      <c r="AL128" s="37" t="str">
        <f>INPUT!AZ128</f>
        <v>ABS</v>
      </c>
      <c r="AM128" s="37" t="str">
        <f>INPUT!BB128</f>
        <v>ABS</v>
      </c>
      <c r="AN128" s="37" t="str">
        <f>INPUT!BD128</f>
        <v>ABS</v>
      </c>
      <c r="AO128" s="212" t="str">
        <f>INPUT!BC128</f>
        <v>ABS</v>
      </c>
      <c r="AP128" s="41" t="str">
        <f t="shared" si="5"/>
        <v/>
      </c>
      <c r="AQ128" s="41" t="str">
        <f t="shared" si="6"/>
        <v>ABS</v>
      </c>
      <c r="AR128" s="41" t="str">
        <f t="shared" si="7"/>
        <v/>
      </c>
      <c r="AS128" s="30"/>
      <c r="AT128" s="30"/>
      <c r="AU128" s="30"/>
      <c r="AV128" s="30"/>
      <c r="AX128" s="114" t="str">
        <f>AJ128&amp;"_"&amp;COUNTIF($AJ$5:AJ128,AJ128)</f>
        <v>-_118</v>
      </c>
    </row>
    <row r="129" spans="1:50">
      <c r="A129" s="112"/>
      <c r="B129" s="44">
        <f>INPUT!F129</f>
        <v>0</v>
      </c>
      <c r="C129" s="50">
        <f>INPUT!C129</f>
        <v>0</v>
      </c>
      <c r="D129" s="50">
        <f>INPUT!D129</f>
        <v>0</v>
      </c>
      <c r="E129" s="51">
        <f>INPUT!E129</f>
        <v>0</v>
      </c>
      <c r="F129" s="39" t="str">
        <f>INPUT!G129</f>
        <v>0011</v>
      </c>
      <c r="G129" s="37" t="str">
        <f>INPUT!I129</f>
        <v>ABS</v>
      </c>
      <c r="H129" s="37" t="str">
        <f>INPUT!K129</f>
        <v>ABS</v>
      </c>
      <c r="I129" s="37" t="str">
        <f>INPUT!M129</f>
        <v>ABS</v>
      </c>
      <c r="J129" s="38" t="str">
        <f>INPUT!L129</f>
        <v>ABS</v>
      </c>
      <c r="K129" s="205" t="str">
        <f>INPUT!N129</f>
        <v>0031</v>
      </c>
      <c r="L129" s="37" t="str">
        <f>INPUT!P129</f>
        <v>ABS</v>
      </c>
      <c r="M129" s="37" t="str">
        <f>INPUT!R129</f>
        <v>ABS</v>
      </c>
      <c r="N129" s="37" t="str">
        <f>INPUT!T129</f>
        <v>ABS</v>
      </c>
      <c r="O129" s="46" t="str">
        <f>INPUT!S129</f>
        <v>ABS</v>
      </c>
      <c r="P129" s="202" t="str">
        <f>INPUT!U129</f>
        <v>0051</v>
      </c>
      <c r="Q129" s="37" t="str">
        <f>INPUT!W129</f>
        <v>ABS</v>
      </c>
      <c r="R129" s="37" t="str">
        <f>INPUT!Y129</f>
        <v>ABS</v>
      </c>
      <c r="S129" s="37" t="str">
        <f>INPUT!AA129</f>
        <v>ABS</v>
      </c>
      <c r="T129" s="38" t="str">
        <f>INPUT!Z129</f>
        <v>ABS</v>
      </c>
      <c r="U129" s="209">
        <f>INPUT!AB129</f>
        <v>0</v>
      </c>
      <c r="V129" s="37" t="str">
        <f>INPUT!AD129</f>
        <v>ABS</v>
      </c>
      <c r="W129" s="37" t="str">
        <f>INPUT!AF129</f>
        <v>ABS</v>
      </c>
      <c r="X129" s="37" t="str">
        <f>INPUT!AH129</f>
        <v>ABS</v>
      </c>
      <c r="Y129" s="46" t="str">
        <f>INPUT!AG129</f>
        <v>ABS</v>
      </c>
      <c r="Z129" s="209">
        <f>INPUT!AI129</f>
        <v>0</v>
      </c>
      <c r="AA129" s="37" t="str">
        <f>INPUT!AK129</f>
        <v>ABS</v>
      </c>
      <c r="AB129" s="37" t="str">
        <f>INPUT!AM129</f>
        <v>ABS</v>
      </c>
      <c r="AC129" s="37" t="str">
        <f>INPUT!AO129</f>
        <v>ABS</v>
      </c>
      <c r="AD129" s="46" t="str">
        <f>INPUT!AN129</f>
        <v>ABS</v>
      </c>
      <c r="AE129" s="204">
        <f>INPUT!AP129</f>
        <v>0</v>
      </c>
      <c r="AF129" s="37" t="str">
        <f>INPUT!AR129</f>
        <v>ABS</v>
      </c>
      <c r="AG129" s="37" t="str">
        <f>INPUT!AT129</f>
        <v>ABS</v>
      </c>
      <c r="AH129" s="37" t="str">
        <f>INPUT!AV129</f>
        <v>ABS</v>
      </c>
      <c r="AI129" s="38" t="str">
        <f>INPUT!AU129</f>
        <v>ABS</v>
      </c>
      <c r="AJ129" s="40" t="str">
        <f t="shared" si="4"/>
        <v>-</v>
      </c>
      <c r="AK129" s="211">
        <f>INPUT!AX129</f>
        <v>0</v>
      </c>
      <c r="AL129" s="37" t="str">
        <f>INPUT!AZ129</f>
        <v>ABS</v>
      </c>
      <c r="AM129" s="37" t="str">
        <f>INPUT!BB129</f>
        <v>ABS</v>
      </c>
      <c r="AN129" s="37" t="str">
        <f>INPUT!BD129</f>
        <v>ABS</v>
      </c>
      <c r="AO129" s="212" t="str">
        <f>INPUT!BC129</f>
        <v>ABS</v>
      </c>
      <c r="AP129" s="41" t="str">
        <f t="shared" si="5"/>
        <v/>
      </c>
      <c r="AQ129" s="41" t="str">
        <f t="shared" si="6"/>
        <v>ABS</v>
      </c>
      <c r="AR129" s="41" t="str">
        <f t="shared" si="7"/>
        <v/>
      </c>
      <c r="AS129" s="30"/>
      <c r="AT129" s="30"/>
      <c r="AU129" s="30"/>
      <c r="AV129" s="30"/>
      <c r="AX129" s="114" t="str">
        <f>AJ129&amp;"_"&amp;COUNTIF($AJ$5:AJ129,AJ129)</f>
        <v>-_119</v>
      </c>
    </row>
    <row r="130" spans="1:50">
      <c r="A130" s="112"/>
      <c r="B130" s="44">
        <f>INPUT!F130</f>
        <v>0</v>
      </c>
      <c r="C130" s="50">
        <f>INPUT!C130</f>
        <v>0</v>
      </c>
      <c r="D130" s="50">
        <f>INPUT!D130</f>
        <v>0</v>
      </c>
      <c r="E130" s="51">
        <f>INPUT!E130</f>
        <v>0</v>
      </c>
      <c r="F130" s="39" t="str">
        <f>INPUT!G130</f>
        <v>0011</v>
      </c>
      <c r="G130" s="37" t="str">
        <f>INPUT!I130</f>
        <v>ABS</v>
      </c>
      <c r="H130" s="37" t="str">
        <f>INPUT!K130</f>
        <v>ABS</v>
      </c>
      <c r="I130" s="37" t="str">
        <f>INPUT!M130</f>
        <v>ABS</v>
      </c>
      <c r="J130" s="38" t="str">
        <f>INPUT!L130</f>
        <v>ABS</v>
      </c>
      <c r="K130" s="205" t="str">
        <f>INPUT!N130</f>
        <v>0031</v>
      </c>
      <c r="L130" s="37" t="str">
        <f>INPUT!P130</f>
        <v>ABS</v>
      </c>
      <c r="M130" s="37" t="str">
        <f>INPUT!R130</f>
        <v>ABS</v>
      </c>
      <c r="N130" s="37" t="str">
        <f>INPUT!T130</f>
        <v>ABS</v>
      </c>
      <c r="O130" s="46" t="str">
        <f>INPUT!S130</f>
        <v>ABS</v>
      </c>
      <c r="P130" s="202" t="str">
        <f>INPUT!U130</f>
        <v>0051</v>
      </c>
      <c r="Q130" s="37" t="str">
        <f>INPUT!W130</f>
        <v>ABS</v>
      </c>
      <c r="R130" s="37" t="str">
        <f>INPUT!Y130</f>
        <v>ABS</v>
      </c>
      <c r="S130" s="37" t="str">
        <f>INPUT!AA130</f>
        <v>ABS</v>
      </c>
      <c r="T130" s="38" t="str">
        <f>INPUT!Z130</f>
        <v>ABS</v>
      </c>
      <c r="U130" s="209">
        <f>INPUT!AB130</f>
        <v>0</v>
      </c>
      <c r="V130" s="37" t="str">
        <f>INPUT!AD130</f>
        <v>ABS</v>
      </c>
      <c r="W130" s="37" t="str">
        <f>INPUT!AF130</f>
        <v>ABS</v>
      </c>
      <c r="X130" s="37" t="str">
        <f>INPUT!AH130</f>
        <v>ABS</v>
      </c>
      <c r="Y130" s="46" t="str">
        <f>INPUT!AG130</f>
        <v>ABS</v>
      </c>
      <c r="Z130" s="209">
        <f>INPUT!AI130</f>
        <v>0</v>
      </c>
      <c r="AA130" s="37" t="str">
        <f>INPUT!AK130</f>
        <v>ABS</v>
      </c>
      <c r="AB130" s="37" t="str">
        <f>INPUT!AM130</f>
        <v>ABS</v>
      </c>
      <c r="AC130" s="37" t="str">
        <f>INPUT!AO130</f>
        <v>ABS</v>
      </c>
      <c r="AD130" s="46" t="str">
        <f>INPUT!AN130</f>
        <v>ABS</v>
      </c>
      <c r="AE130" s="204">
        <f>INPUT!AP130</f>
        <v>0</v>
      </c>
      <c r="AF130" s="37" t="str">
        <f>INPUT!AR130</f>
        <v>ABS</v>
      </c>
      <c r="AG130" s="37" t="str">
        <f>INPUT!AT130</f>
        <v>ABS</v>
      </c>
      <c r="AH130" s="37" t="str">
        <f>INPUT!AV130</f>
        <v>ABS</v>
      </c>
      <c r="AI130" s="38" t="str">
        <f>INPUT!AU130</f>
        <v>ABS</v>
      </c>
      <c r="AJ130" s="40" t="str">
        <f t="shared" si="4"/>
        <v>-</v>
      </c>
      <c r="AK130" s="211">
        <f>INPUT!AX130</f>
        <v>0</v>
      </c>
      <c r="AL130" s="37" t="str">
        <f>INPUT!AZ130</f>
        <v>ABS</v>
      </c>
      <c r="AM130" s="37" t="str">
        <f>INPUT!BB130</f>
        <v>ABS</v>
      </c>
      <c r="AN130" s="37" t="str">
        <f>INPUT!BD130</f>
        <v>ABS</v>
      </c>
      <c r="AO130" s="212" t="str">
        <f>INPUT!BC130</f>
        <v>ABS</v>
      </c>
      <c r="AP130" s="41" t="str">
        <f t="shared" si="5"/>
        <v/>
      </c>
      <c r="AQ130" s="41" t="str">
        <f t="shared" si="6"/>
        <v>ABS</v>
      </c>
      <c r="AR130" s="41" t="str">
        <f t="shared" si="7"/>
        <v/>
      </c>
      <c r="AS130" s="30"/>
      <c r="AT130" s="30"/>
      <c r="AU130" s="30"/>
      <c r="AV130" s="30"/>
      <c r="AX130" s="114" t="str">
        <f>AJ130&amp;"_"&amp;COUNTIF($AJ$5:AJ130,AJ130)</f>
        <v>-_120</v>
      </c>
    </row>
    <row r="131" spans="1:50">
      <c r="A131" s="112"/>
      <c r="B131" s="44">
        <f>INPUT!F131</f>
        <v>0</v>
      </c>
      <c r="C131" s="50">
        <f>INPUT!C131</f>
        <v>0</v>
      </c>
      <c r="D131" s="50">
        <f>INPUT!D131</f>
        <v>0</v>
      </c>
      <c r="E131" s="51">
        <f>INPUT!E131</f>
        <v>0</v>
      </c>
      <c r="F131" s="39" t="str">
        <f>INPUT!G131</f>
        <v>0011</v>
      </c>
      <c r="G131" s="37" t="str">
        <f>INPUT!I131</f>
        <v>ABS</v>
      </c>
      <c r="H131" s="37" t="str">
        <f>INPUT!K131</f>
        <v>ABS</v>
      </c>
      <c r="I131" s="37" t="str">
        <f>INPUT!M131</f>
        <v>ABS</v>
      </c>
      <c r="J131" s="38" t="str">
        <f>INPUT!L131</f>
        <v>ABS</v>
      </c>
      <c r="K131" s="205" t="str">
        <f>INPUT!N131</f>
        <v>0031</v>
      </c>
      <c r="L131" s="37" t="str">
        <f>INPUT!P131</f>
        <v>ABS</v>
      </c>
      <c r="M131" s="37" t="str">
        <f>INPUT!R131</f>
        <v>ABS</v>
      </c>
      <c r="N131" s="37" t="str">
        <f>INPUT!T131</f>
        <v>ABS</v>
      </c>
      <c r="O131" s="46" t="str">
        <f>INPUT!S131</f>
        <v>ABS</v>
      </c>
      <c r="P131" s="202" t="str">
        <f>INPUT!U131</f>
        <v>0051</v>
      </c>
      <c r="Q131" s="37" t="str">
        <f>INPUT!W131</f>
        <v>ABS</v>
      </c>
      <c r="R131" s="37" t="str">
        <f>INPUT!Y131</f>
        <v>ABS</v>
      </c>
      <c r="S131" s="37" t="str">
        <f>INPUT!AA131</f>
        <v>ABS</v>
      </c>
      <c r="T131" s="38" t="str">
        <f>INPUT!Z131</f>
        <v>ABS</v>
      </c>
      <c r="U131" s="209">
        <f>INPUT!AB131</f>
        <v>0</v>
      </c>
      <c r="V131" s="37" t="str">
        <f>INPUT!AD131</f>
        <v>ABS</v>
      </c>
      <c r="W131" s="37" t="str">
        <f>INPUT!AF131</f>
        <v>ABS</v>
      </c>
      <c r="X131" s="37" t="str">
        <f>INPUT!AH131</f>
        <v>ABS</v>
      </c>
      <c r="Y131" s="46" t="str">
        <f>INPUT!AG131</f>
        <v>ABS</v>
      </c>
      <c r="Z131" s="209">
        <f>INPUT!AI131</f>
        <v>0</v>
      </c>
      <c r="AA131" s="37" t="str">
        <f>INPUT!AK131</f>
        <v>ABS</v>
      </c>
      <c r="AB131" s="37" t="str">
        <f>INPUT!AM131</f>
        <v>ABS</v>
      </c>
      <c r="AC131" s="37" t="str">
        <f>INPUT!AO131</f>
        <v>ABS</v>
      </c>
      <c r="AD131" s="46" t="str">
        <f>INPUT!AN131</f>
        <v>ABS</v>
      </c>
      <c r="AE131" s="204">
        <f>INPUT!AP131</f>
        <v>0</v>
      </c>
      <c r="AF131" s="37" t="str">
        <f>INPUT!AR131</f>
        <v>ABS</v>
      </c>
      <c r="AG131" s="37" t="str">
        <f>INPUT!AT131</f>
        <v>ABS</v>
      </c>
      <c r="AH131" s="37" t="str">
        <f>INPUT!AV131</f>
        <v>ABS</v>
      </c>
      <c r="AI131" s="38" t="str">
        <f>INPUT!AU131</f>
        <v>ABS</v>
      </c>
      <c r="AJ131" s="40" t="str">
        <f t="shared" si="4"/>
        <v>-</v>
      </c>
      <c r="AK131" s="211">
        <f>INPUT!AX131</f>
        <v>0</v>
      </c>
      <c r="AL131" s="37" t="str">
        <f>INPUT!AZ131</f>
        <v>ABS</v>
      </c>
      <c r="AM131" s="37" t="str">
        <f>INPUT!BB131</f>
        <v>ABS</v>
      </c>
      <c r="AN131" s="37" t="str">
        <f>INPUT!BD131</f>
        <v>ABS</v>
      </c>
      <c r="AO131" s="212" t="str">
        <f>INPUT!BC131</f>
        <v>ABS</v>
      </c>
      <c r="AP131" s="41" t="str">
        <f t="shared" si="5"/>
        <v/>
      </c>
      <c r="AQ131" s="41" t="str">
        <f t="shared" si="6"/>
        <v>ABS</v>
      </c>
      <c r="AR131" s="41" t="str">
        <f t="shared" si="7"/>
        <v/>
      </c>
      <c r="AS131" s="30"/>
      <c r="AT131" s="30"/>
      <c r="AU131" s="30"/>
      <c r="AV131" s="30"/>
      <c r="AX131" s="114" t="str">
        <f>AJ131&amp;"_"&amp;COUNTIF($AJ$5:AJ131,AJ131)</f>
        <v>-_121</v>
      </c>
    </row>
    <row r="132" spans="1:50">
      <c r="A132" s="112"/>
      <c r="B132" s="44">
        <f>INPUT!F132</f>
        <v>0</v>
      </c>
      <c r="C132" s="50">
        <f>INPUT!C132</f>
        <v>0</v>
      </c>
      <c r="D132" s="50">
        <f>INPUT!D132</f>
        <v>0</v>
      </c>
      <c r="E132" s="51">
        <f>INPUT!E132</f>
        <v>0</v>
      </c>
      <c r="F132" s="39" t="str">
        <f>INPUT!G132</f>
        <v>0011</v>
      </c>
      <c r="G132" s="37" t="str">
        <f>INPUT!I132</f>
        <v>ABS</v>
      </c>
      <c r="H132" s="37" t="str">
        <f>INPUT!K132</f>
        <v>ABS</v>
      </c>
      <c r="I132" s="37" t="str">
        <f>INPUT!M132</f>
        <v>ABS</v>
      </c>
      <c r="J132" s="38" t="str">
        <f>INPUT!L132</f>
        <v>ABS</v>
      </c>
      <c r="K132" s="205" t="str">
        <f>INPUT!N132</f>
        <v>0031</v>
      </c>
      <c r="L132" s="37" t="str">
        <f>INPUT!P132</f>
        <v>ABS</v>
      </c>
      <c r="M132" s="37" t="str">
        <f>INPUT!R132</f>
        <v>ABS</v>
      </c>
      <c r="N132" s="37" t="str">
        <f>INPUT!T132</f>
        <v>ABS</v>
      </c>
      <c r="O132" s="46" t="str">
        <f>INPUT!S132</f>
        <v>ABS</v>
      </c>
      <c r="P132" s="202" t="str">
        <f>INPUT!U132</f>
        <v>0051</v>
      </c>
      <c r="Q132" s="37" t="str">
        <f>INPUT!W132</f>
        <v>ABS</v>
      </c>
      <c r="R132" s="37" t="str">
        <f>INPUT!Y132</f>
        <v>ABS</v>
      </c>
      <c r="S132" s="37" t="str">
        <f>INPUT!AA132</f>
        <v>ABS</v>
      </c>
      <c r="T132" s="38" t="str">
        <f>INPUT!Z132</f>
        <v>ABS</v>
      </c>
      <c r="U132" s="209">
        <f>INPUT!AB132</f>
        <v>0</v>
      </c>
      <c r="V132" s="37" t="str">
        <f>INPUT!AD132</f>
        <v>ABS</v>
      </c>
      <c r="W132" s="37" t="str">
        <f>INPUT!AF132</f>
        <v>ABS</v>
      </c>
      <c r="X132" s="37" t="str">
        <f>INPUT!AH132</f>
        <v>ABS</v>
      </c>
      <c r="Y132" s="46" t="str">
        <f>INPUT!AG132</f>
        <v>ABS</v>
      </c>
      <c r="Z132" s="209">
        <f>INPUT!AI132</f>
        <v>0</v>
      </c>
      <c r="AA132" s="37" t="str">
        <f>INPUT!AK132</f>
        <v>ABS</v>
      </c>
      <c r="AB132" s="37" t="str">
        <f>INPUT!AM132</f>
        <v>ABS</v>
      </c>
      <c r="AC132" s="37" t="str">
        <f>INPUT!AO132</f>
        <v>ABS</v>
      </c>
      <c r="AD132" s="46" t="str">
        <f>INPUT!AN132</f>
        <v>ABS</v>
      </c>
      <c r="AE132" s="204">
        <f>INPUT!AP132</f>
        <v>0</v>
      </c>
      <c r="AF132" s="37" t="str">
        <f>INPUT!AR132</f>
        <v>ABS</v>
      </c>
      <c r="AG132" s="37" t="str">
        <f>INPUT!AT132</f>
        <v>ABS</v>
      </c>
      <c r="AH132" s="37" t="str">
        <f>INPUT!AV132</f>
        <v>ABS</v>
      </c>
      <c r="AI132" s="38" t="str">
        <f>INPUT!AU132</f>
        <v>ABS</v>
      </c>
      <c r="AJ132" s="40" t="str">
        <f t="shared" si="4"/>
        <v>-</v>
      </c>
      <c r="AK132" s="211">
        <f>INPUT!AX132</f>
        <v>0</v>
      </c>
      <c r="AL132" s="37" t="str">
        <f>INPUT!AZ132</f>
        <v>ABS</v>
      </c>
      <c r="AM132" s="37" t="str">
        <f>INPUT!BB132</f>
        <v>ABS</v>
      </c>
      <c r="AN132" s="37" t="str">
        <f>INPUT!BD132</f>
        <v>ABS</v>
      </c>
      <c r="AO132" s="212" t="str">
        <f>INPUT!BC132</f>
        <v>ABS</v>
      </c>
      <c r="AP132" s="41" t="str">
        <f t="shared" si="5"/>
        <v/>
      </c>
      <c r="AQ132" s="41" t="str">
        <f t="shared" si="6"/>
        <v>ABS</v>
      </c>
      <c r="AR132" s="41" t="str">
        <f t="shared" si="7"/>
        <v/>
      </c>
      <c r="AS132" s="30"/>
      <c r="AT132" s="30"/>
      <c r="AU132" s="30"/>
      <c r="AV132" s="30"/>
      <c r="AX132" s="114" t="str">
        <f>AJ132&amp;"_"&amp;COUNTIF($AJ$5:AJ132,AJ132)</f>
        <v>-_122</v>
      </c>
    </row>
    <row r="133" spans="1:50">
      <c r="A133" s="112"/>
      <c r="B133" s="44">
        <f>INPUT!F133</f>
        <v>0</v>
      </c>
      <c r="C133" s="50">
        <f>INPUT!C133</f>
        <v>0</v>
      </c>
      <c r="D133" s="50">
        <f>INPUT!D133</f>
        <v>0</v>
      </c>
      <c r="E133" s="51">
        <f>INPUT!E133</f>
        <v>0</v>
      </c>
      <c r="F133" s="39" t="str">
        <f>INPUT!G133</f>
        <v>0011</v>
      </c>
      <c r="G133" s="37" t="str">
        <f>INPUT!I133</f>
        <v>ABS</v>
      </c>
      <c r="H133" s="37" t="str">
        <f>INPUT!K133</f>
        <v>ABS</v>
      </c>
      <c r="I133" s="37" t="str">
        <f>INPUT!M133</f>
        <v>ABS</v>
      </c>
      <c r="J133" s="38" t="str">
        <f>INPUT!L133</f>
        <v>ABS</v>
      </c>
      <c r="K133" s="205" t="str">
        <f>INPUT!N133</f>
        <v>0031</v>
      </c>
      <c r="L133" s="37" t="str">
        <f>INPUT!P133</f>
        <v>ABS</v>
      </c>
      <c r="M133" s="37" t="str">
        <f>INPUT!R133</f>
        <v>ABS</v>
      </c>
      <c r="N133" s="37" t="str">
        <f>INPUT!T133</f>
        <v>ABS</v>
      </c>
      <c r="O133" s="46" t="str">
        <f>INPUT!S133</f>
        <v>ABS</v>
      </c>
      <c r="P133" s="202" t="str">
        <f>INPUT!U133</f>
        <v>0051</v>
      </c>
      <c r="Q133" s="37" t="str">
        <f>INPUT!W133</f>
        <v>ABS</v>
      </c>
      <c r="R133" s="37" t="str">
        <f>INPUT!Y133</f>
        <v>ABS</v>
      </c>
      <c r="S133" s="37" t="str">
        <f>INPUT!AA133</f>
        <v>ABS</v>
      </c>
      <c r="T133" s="38" t="str">
        <f>INPUT!Z133</f>
        <v>ABS</v>
      </c>
      <c r="U133" s="209">
        <f>INPUT!AB133</f>
        <v>0</v>
      </c>
      <c r="V133" s="37" t="str">
        <f>INPUT!AD133</f>
        <v>ABS</v>
      </c>
      <c r="W133" s="37" t="str">
        <f>INPUT!AF133</f>
        <v>ABS</v>
      </c>
      <c r="X133" s="37" t="str">
        <f>INPUT!AH133</f>
        <v>ABS</v>
      </c>
      <c r="Y133" s="46" t="str">
        <f>INPUT!AG133</f>
        <v>ABS</v>
      </c>
      <c r="Z133" s="209">
        <f>INPUT!AI133</f>
        <v>0</v>
      </c>
      <c r="AA133" s="37" t="str">
        <f>INPUT!AK133</f>
        <v>ABS</v>
      </c>
      <c r="AB133" s="37" t="str">
        <f>INPUT!AM133</f>
        <v>ABS</v>
      </c>
      <c r="AC133" s="37" t="str">
        <f>INPUT!AO133</f>
        <v>ABS</v>
      </c>
      <c r="AD133" s="46" t="str">
        <f>INPUT!AN133</f>
        <v>ABS</v>
      </c>
      <c r="AE133" s="204">
        <f>INPUT!AP133</f>
        <v>0</v>
      </c>
      <c r="AF133" s="37" t="str">
        <f>INPUT!AR133</f>
        <v>ABS</v>
      </c>
      <c r="AG133" s="37" t="str">
        <f>INPUT!AT133</f>
        <v>ABS</v>
      </c>
      <c r="AH133" s="37" t="str">
        <f>INPUT!AV133</f>
        <v>ABS</v>
      </c>
      <c r="AI133" s="38" t="str">
        <f>INPUT!AU133</f>
        <v>ABS</v>
      </c>
      <c r="AJ133" s="40" t="str">
        <f t="shared" si="4"/>
        <v>-</v>
      </c>
      <c r="AK133" s="211">
        <f>INPUT!AX133</f>
        <v>0</v>
      </c>
      <c r="AL133" s="37" t="str">
        <f>INPUT!AZ133</f>
        <v>ABS</v>
      </c>
      <c r="AM133" s="37" t="str">
        <f>INPUT!BB133</f>
        <v>ABS</v>
      </c>
      <c r="AN133" s="37" t="str">
        <f>INPUT!BD133</f>
        <v>ABS</v>
      </c>
      <c r="AO133" s="212" t="str">
        <f>INPUT!BC133</f>
        <v>ABS</v>
      </c>
      <c r="AP133" s="41" t="str">
        <f t="shared" si="5"/>
        <v/>
      </c>
      <c r="AQ133" s="41" t="str">
        <f t="shared" si="6"/>
        <v>ABS</v>
      </c>
      <c r="AR133" s="41" t="str">
        <f t="shared" si="7"/>
        <v/>
      </c>
      <c r="AS133" s="30"/>
      <c r="AT133" s="30"/>
      <c r="AU133" s="30"/>
      <c r="AV133" s="30"/>
      <c r="AX133" s="114" t="str">
        <f>AJ133&amp;"_"&amp;COUNTIF($AJ$5:AJ133,AJ133)</f>
        <v>-_123</v>
      </c>
    </row>
    <row r="134" spans="1:50">
      <c r="A134" s="112"/>
      <c r="B134" s="44">
        <f>INPUT!F134</f>
        <v>0</v>
      </c>
      <c r="C134" s="50">
        <f>INPUT!C134</f>
        <v>0</v>
      </c>
      <c r="D134" s="50">
        <f>INPUT!D134</f>
        <v>0</v>
      </c>
      <c r="E134" s="51">
        <f>INPUT!E134</f>
        <v>0</v>
      </c>
      <c r="F134" s="39" t="str">
        <f>INPUT!G134</f>
        <v>0011</v>
      </c>
      <c r="G134" s="37" t="str">
        <f>INPUT!I134</f>
        <v>ABS</v>
      </c>
      <c r="H134" s="37" t="str">
        <f>INPUT!K134</f>
        <v>ABS</v>
      </c>
      <c r="I134" s="37" t="str">
        <f>INPUT!M134</f>
        <v>ABS</v>
      </c>
      <c r="J134" s="38" t="str">
        <f>INPUT!L134</f>
        <v>ABS</v>
      </c>
      <c r="K134" s="205" t="str">
        <f>INPUT!N134</f>
        <v>0031</v>
      </c>
      <c r="L134" s="37" t="str">
        <f>INPUT!P134</f>
        <v>ABS</v>
      </c>
      <c r="M134" s="37" t="str">
        <f>INPUT!R134</f>
        <v>ABS</v>
      </c>
      <c r="N134" s="37" t="str">
        <f>INPUT!T134</f>
        <v>ABS</v>
      </c>
      <c r="O134" s="46" t="str">
        <f>INPUT!S134</f>
        <v>ABS</v>
      </c>
      <c r="P134" s="202" t="str">
        <f>INPUT!U134</f>
        <v>0051</v>
      </c>
      <c r="Q134" s="37" t="str">
        <f>INPUT!W134</f>
        <v>ABS</v>
      </c>
      <c r="R134" s="37" t="str">
        <f>INPUT!Y134</f>
        <v>ABS</v>
      </c>
      <c r="S134" s="37" t="str">
        <f>INPUT!AA134</f>
        <v>ABS</v>
      </c>
      <c r="T134" s="38" t="str">
        <f>INPUT!Z134</f>
        <v>ABS</v>
      </c>
      <c r="U134" s="209">
        <f>INPUT!AB134</f>
        <v>0</v>
      </c>
      <c r="V134" s="37" t="str">
        <f>INPUT!AD134</f>
        <v>ABS</v>
      </c>
      <c r="W134" s="37" t="str">
        <f>INPUT!AF134</f>
        <v>ABS</v>
      </c>
      <c r="X134" s="37" t="str">
        <f>INPUT!AH134</f>
        <v>ABS</v>
      </c>
      <c r="Y134" s="46" t="str">
        <f>INPUT!AG134</f>
        <v>ABS</v>
      </c>
      <c r="Z134" s="209">
        <f>INPUT!AI134</f>
        <v>0</v>
      </c>
      <c r="AA134" s="37" t="str">
        <f>INPUT!AK134</f>
        <v>ABS</v>
      </c>
      <c r="AB134" s="37" t="str">
        <f>INPUT!AM134</f>
        <v>ABS</v>
      </c>
      <c r="AC134" s="37" t="str">
        <f>INPUT!AO134</f>
        <v>ABS</v>
      </c>
      <c r="AD134" s="46" t="str">
        <f>INPUT!AN134</f>
        <v>ABS</v>
      </c>
      <c r="AE134" s="204">
        <f>INPUT!AP134</f>
        <v>0</v>
      </c>
      <c r="AF134" s="37" t="str">
        <f>INPUT!AR134</f>
        <v>ABS</v>
      </c>
      <c r="AG134" s="37" t="str">
        <f>INPUT!AT134</f>
        <v>ABS</v>
      </c>
      <c r="AH134" s="37" t="str">
        <f>INPUT!AV134</f>
        <v>ABS</v>
      </c>
      <c r="AI134" s="38" t="str">
        <f>INPUT!AU134</f>
        <v>ABS</v>
      </c>
      <c r="AJ134" s="40" t="str">
        <f t="shared" ref="AJ134:AJ154" si="8">IFERROR((3*J134+4*O134+5*T134+5*Y134+5*AD134+5*AI134)/27,"-")</f>
        <v>-</v>
      </c>
      <c r="AK134" s="211">
        <f>INPUT!AX134</f>
        <v>0</v>
      </c>
      <c r="AL134" s="37" t="str">
        <f>INPUT!AZ134</f>
        <v>ABS</v>
      </c>
      <c r="AM134" s="37" t="str">
        <f>INPUT!BB134</f>
        <v>ABS</v>
      </c>
      <c r="AN134" s="37" t="str">
        <f>INPUT!BD134</f>
        <v>ABS</v>
      </c>
      <c r="AO134" s="212" t="str">
        <f>INPUT!BC134</f>
        <v>ABS</v>
      </c>
      <c r="AP134" s="41" t="str">
        <f t="shared" ref="AP134:AP154" si="9">IF(OR(J134="NG",O134="NG",T134="NG",Y134="NG",AD134="NG",AI134="NG"),"NG","")</f>
        <v/>
      </c>
      <c r="AQ134" s="41" t="str">
        <f t="shared" ref="AQ134:AQ154" si="10">IF(OR(G134="ABS",L134="ABS",Q134="ABS",V134="ABS",AA134="ABS",AF134="ABS"),"ABS","")</f>
        <v>ABS</v>
      </c>
      <c r="AR134" s="41" t="str">
        <f t="shared" ref="AR134:AR154" si="11">IF(OR(G134="-",L134="-",Q134="-",V134="-",AA134="-",AF134,AP134="NG"),"W","")</f>
        <v/>
      </c>
      <c r="AS134" s="30"/>
      <c r="AT134" s="30"/>
      <c r="AU134" s="30"/>
      <c r="AV134" s="30"/>
      <c r="AX134" s="114" t="str">
        <f>AJ134&amp;"_"&amp;COUNTIF($AJ$5:AJ134,AJ134)</f>
        <v>-_124</v>
      </c>
    </row>
    <row r="135" spans="1:50">
      <c r="A135" s="112"/>
      <c r="B135" s="44">
        <f>INPUT!F135</f>
        <v>0</v>
      </c>
      <c r="C135" s="50">
        <f>INPUT!C135</f>
        <v>0</v>
      </c>
      <c r="D135" s="50">
        <f>INPUT!D135</f>
        <v>0</v>
      </c>
      <c r="E135" s="51">
        <f>INPUT!E135</f>
        <v>0</v>
      </c>
      <c r="F135" s="39" t="str">
        <f>INPUT!G135</f>
        <v>0011</v>
      </c>
      <c r="G135" s="37" t="str">
        <f>INPUT!I135</f>
        <v>ABS</v>
      </c>
      <c r="H135" s="37" t="str">
        <f>INPUT!K135</f>
        <v>ABS</v>
      </c>
      <c r="I135" s="37" t="str">
        <f>INPUT!M135</f>
        <v>ABS</v>
      </c>
      <c r="J135" s="38" t="str">
        <f>INPUT!L135</f>
        <v>ABS</v>
      </c>
      <c r="K135" s="205" t="str">
        <f>INPUT!N135</f>
        <v>0031</v>
      </c>
      <c r="L135" s="37" t="str">
        <f>INPUT!P135</f>
        <v>ABS</v>
      </c>
      <c r="M135" s="37" t="str">
        <f>INPUT!R135</f>
        <v>ABS</v>
      </c>
      <c r="N135" s="37" t="str">
        <f>INPUT!T135</f>
        <v>ABS</v>
      </c>
      <c r="O135" s="46" t="str">
        <f>INPUT!S135</f>
        <v>ABS</v>
      </c>
      <c r="P135" s="202" t="str">
        <f>INPUT!U135</f>
        <v>0051</v>
      </c>
      <c r="Q135" s="37" t="str">
        <f>INPUT!W135</f>
        <v>ABS</v>
      </c>
      <c r="R135" s="37" t="str">
        <f>INPUT!Y135</f>
        <v>ABS</v>
      </c>
      <c r="S135" s="37" t="str">
        <f>INPUT!AA135</f>
        <v>ABS</v>
      </c>
      <c r="T135" s="38" t="str">
        <f>INPUT!Z135</f>
        <v>ABS</v>
      </c>
      <c r="U135" s="209">
        <f>INPUT!AB135</f>
        <v>0</v>
      </c>
      <c r="V135" s="37" t="str">
        <f>INPUT!AD135</f>
        <v>ABS</v>
      </c>
      <c r="W135" s="37" t="str">
        <f>INPUT!AF135</f>
        <v>ABS</v>
      </c>
      <c r="X135" s="37" t="str">
        <f>INPUT!AH135</f>
        <v>ABS</v>
      </c>
      <c r="Y135" s="46" t="str">
        <f>INPUT!AG135</f>
        <v>ABS</v>
      </c>
      <c r="Z135" s="209">
        <f>INPUT!AI135</f>
        <v>0</v>
      </c>
      <c r="AA135" s="37" t="str">
        <f>INPUT!AK135</f>
        <v>ABS</v>
      </c>
      <c r="AB135" s="37" t="str">
        <f>INPUT!AM135</f>
        <v>ABS</v>
      </c>
      <c r="AC135" s="37" t="str">
        <f>INPUT!AO135</f>
        <v>ABS</v>
      </c>
      <c r="AD135" s="46" t="str">
        <f>INPUT!AN135</f>
        <v>ABS</v>
      </c>
      <c r="AE135" s="204">
        <f>INPUT!AP135</f>
        <v>0</v>
      </c>
      <c r="AF135" s="37" t="str">
        <f>INPUT!AR135</f>
        <v>ABS</v>
      </c>
      <c r="AG135" s="37" t="str">
        <f>INPUT!AT135</f>
        <v>ABS</v>
      </c>
      <c r="AH135" s="37" t="str">
        <f>INPUT!AV135</f>
        <v>ABS</v>
      </c>
      <c r="AI135" s="38" t="str">
        <f>INPUT!AU135</f>
        <v>ABS</v>
      </c>
      <c r="AJ135" s="40" t="str">
        <f t="shared" si="8"/>
        <v>-</v>
      </c>
      <c r="AK135" s="211">
        <f>INPUT!AX135</f>
        <v>0</v>
      </c>
      <c r="AL135" s="37" t="str">
        <f>INPUT!AZ135</f>
        <v>ABS</v>
      </c>
      <c r="AM135" s="37" t="str">
        <f>INPUT!BB135</f>
        <v>ABS</v>
      </c>
      <c r="AN135" s="37" t="str">
        <f>INPUT!BD135</f>
        <v>ABS</v>
      </c>
      <c r="AO135" s="212" t="str">
        <f>INPUT!BC135</f>
        <v>ABS</v>
      </c>
      <c r="AP135" s="41" t="str">
        <f t="shared" si="9"/>
        <v/>
      </c>
      <c r="AQ135" s="41" t="str">
        <f t="shared" si="10"/>
        <v>ABS</v>
      </c>
      <c r="AR135" s="41" t="str">
        <f t="shared" si="11"/>
        <v/>
      </c>
      <c r="AS135" s="30"/>
      <c r="AT135" s="30"/>
      <c r="AU135" s="30"/>
      <c r="AV135" s="30"/>
      <c r="AX135" s="114" t="str">
        <f>AJ135&amp;"_"&amp;COUNTIF($AJ$5:AJ135,AJ135)</f>
        <v>-_125</v>
      </c>
    </row>
    <row r="136" spans="1:50">
      <c r="A136" s="112"/>
      <c r="B136" s="44">
        <f>INPUT!F136</f>
        <v>0</v>
      </c>
      <c r="C136" s="50">
        <f>INPUT!C136</f>
        <v>0</v>
      </c>
      <c r="D136" s="50">
        <f>INPUT!D136</f>
        <v>0</v>
      </c>
      <c r="E136" s="51">
        <f>INPUT!E136</f>
        <v>0</v>
      </c>
      <c r="F136" s="39" t="str">
        <f>INPUT!G136</f>
        <v>0011</v>
      </c>
      <c r="G136" s="37" t="str">
        <f>INPUT!I136</f>
        <v>ABS</v>
      </c>
      <c r="H136" s="37" t="str">
        <f>INPUT!K136</f>
        <v>ABS</v>
      </c>
      <c r="I136" s="37" t="str">
        <f>INPUT!M136</f>
        <v>ABS</v>
      </c>
      <c r="J136" s="38" t="str">
        <f>INPUT!L136</f>
        <v>ABS</v>
      </c>
      <c r="K136" s="205" t="str">
        <f>INPUT!N136</f>
        <v>0031</v>
      </c>
      <c r="L136" s="37" t="str">
        <f>INPUT!P136</f>
        <v>ABS</v>
      </c>
      <c r="M136" s="37" t="str">
        <f>INPUT!R136</f>
        <v>ABS</v>
      </c>
      <c r="N136" s="37" t="str">
        <f>INPUT!T136</f>
        <v>ABS</v>
      </c>
      <c r="O136" s="46" t="str">
        <f>INPUT!S136</f>
        <v>ABS</v>
      </c>
      <c r="P136" s="202" t="str">
        <f>INPUT!U136</f>
        <v>0051</v>
      </c>
      <c r="Q136" s="37" t="str">
        <f>INPUT!W136</f>
        <v>ABS</v>
      </c>
      <c r="R136" s="37" t="str">
        <f>INPUT!Y136</f>
        <v>ABS</v>
      </c>
      <c r="S136" s="37" t="str">
        <f>INPUT!AA136</f>
        <v>ABS</v>
      </c>
      <c r="T136" s="38" t="str">
        <f>INPUT!Z136</f>
        <v>ABS</v>
      </c>
      <c r="U136" s="209">
        <f>INPUT!AB136</f>
        <v>0</v>
      </c>
      <c r="V136" s="37" t="str">
        <f>INPUT!AD136</f>
        <v>ABS</v>
      </c>
      <c r="W136" s="37" t="str">
        <f>INPUT!AF136</f>
        <v>ABS</v>
      </c>
      <c r="X136" s="37" t="str">
        <f>INPUT!AH136</f>
        <v>ABS</v>
      </c>
      <c r="Y136" s="46" t="str">
        <f>INPUT!AG136</f>
        <v>ABS</v>
      </c>
      <c r="Z136" s="209">
        <f>INPUT!AI136</f>
        <v>0</v>
      </c>
      <c r="AA136" s="37" t="str">
        <f>INPUT!AK136</f>
        <v>ABS</v>
      </c>
      <c r="AB136" s="37" t="str">
        <f>INPUT!AM136</f>
        <v>ABS</v>
      </c>
      <c r="AC136" s="37" t="str">
        <f>INPUT!AO136</f>
        <v>ABS</v>
      </c>
      <c r="AD136" s="46" t="str">
        <f>INPUT!AN136</f>
        <v>ABS</v>
      </c>
      <c r="AE136" s="204">
        <f>INPUT!AP136</f>
        <v>0</v>
      </c>
      <c r="AF136" s="37" t="str">
        <f>INPUT!AR136</f>
        <v>ABS</v>
      </c>
      <c r="AG136" s="37" t="str">
        <f>INPUT!AT136</f>
        <v>ABS</v>
      </c>
      <c r="AH136" s="37" t="str">
        <f>INPUT!AV136</f>
        <v>ABS</v>
      </c>
      <c r="AI136" s="38" t="str">
        <f>INPUT!AU136</f>
        <v>ABS</v>
      </c>
      <c r="AJ136" s="40" t="str">
        <f t="shared" si="8"/>
        <v>-</v>
      </c>
      <c r="AK136" s="211">
        <f>INPUT!AX136</f>
        <v>0</v>
      </c>
      <c r="AL136" s="37" t="str">
        <f>INPUT!AZ136</f>
        <v>ABS</v>
      </c>
      <c r="AM136" s="37" t="str">
        <f>INPUT!BB136</f>
        <v>ABS</v>
      </c>
      <c r="AN136" s="37" t="str">
        <f>INPUT!BD136</f>
        <v>ABS</v>
      </c>
      <c r="AO136" s="212" t="str">
        <f>INPUT!BC136</f>
        <v>ABS</v>
      </c>
      <c r="AP136" s="41" t="str">
        <f t="shared" si="9"/>
        <v/>
      </c>
      <c r="AQ136" s="41" t="str">
        <f t="shared" si="10"/>
        <v>ABS</v>
      </c>
      <c r="AR136" s="41" t="str">
        <f t="shared" si="11"/>
        <v/>
      </c>
      <c r="AS136" s="30"/>
      <c r="AT136" s="30"/>
      <c r="AU136" s="30"/>
      <c r="AV136" s="30"/>
      <c r="AX136" s="114" t="str">
        <f>AJ136&amp;"_"&amp;COUNTIF($AJ$5:AJ136,AJ136)</f>
        <v>-_126</v>
      </c>
    </row>
    <row r="137" spans="1:50">
      <c r="A137" s="112"/>
      <c r="B137" s="44">
        <f>INPUT!F137</f>
        <v>0</v>
      </c>
      <c r="C137" s="50">
        <f>INPUT!C137</f>
        <v>0</v>
      </c>
      <c r="D137" s="50">
        <f>INPUT!D137</f>
        <v>0</v>
      </c>
      <c r="E137" s="51">
        <f>INPUT!E137</f>
        <v>0</v>
      </c>
      <c r="F137" s="39" t="str">
        <f>INPUT!G137</f>
        <v>0011</v>
      </c>
      <c r="G137" s="37" t="str">
        <f>INPUT!I137</f>
        <v>ABS</v>
      </c>
      <c r="H137" s="37" t="str">
        <f>INPUT!K137</f>
        <v>ABS</v>
      </c>
      <c r="I137" s="37" t="str">
        <f>INPUT!M137</f>
        <v>ABS</v>
      </c>
      <c r="J137" s="38" t="str">
        <f>INPUT!L137</f>
        <v>ABS</v>
      </c>
      <c r="K137" s="205" t="str">
        <f>INPUT!N137</f>
        <v>0031</v>
      </c>
      <c r="L137" s="37" t="str">
        <f>INPUT!P137</f>
        <v>ABS</v>
      </c>
      <c r="M137" s="37" t="str">
        <f>INPUT!R137</f>
        <v>ABS</v>
      </c>
      <c r="N137" s="37" t="str">
        <f>INPUT!T137</f>
        <v>ABS</v>
      </c>
      <c r="O137" s="46" t="str">
        <f>INPUT!S137</f>
        <v>ABS</v>
      </c>
      <c r="P137" s="202" t="str">
        <f>INPUT!U137</f>
        <v>0051</v>
      </c>
      <c r="Q137" s="37" t="str">
        <f>INPUT!W137</f>
        <v>ABS</v>
      </c>
      <c r="R137" s="37" t="str">
        <f>INPUT!Y137</f>
        <v>ABS</v>
      </c>
      <c r="S137" s="37" t="str">
        <f>INPUT!AA137</f>
        <v>ABS</v>
      </c>
      <c r="T137" s="38" t="str">
        <f>INPUT!Z137</f>
        <v>ABS</v>
      </c>
      <c r="U137" s="209">
        <f>INPUT!AB137</f>
        <v>0</v>
      </c>
      <c r="V137" s="37" t="str">
        <f>INPUT!AD137</f>
        <v>ABS</v>
      </c>
      <c r="W137" s="37" t="str">
        <f>INPUT!AF137</f>
        <v>ABS</v>
      </c>
      <c r="X137" s="37" t="str">
        <f>INPUT!AH137</f>
        <v>ABS</v>
      </c>
      <c r="Y137" s="46" t="str">
        <f>INPUT!AG137</f>
        <v>ABS</v>
      </c>
      <c r="Z137" s="209">
        <f>INPUT!AI137</f>
        <v>0</v>
      </c>
      <c r="AA137" s="37" t="str">
        <f>INPUT!AK137</f>
        <v>ABS</v>
      </c>
      <c r="AB137" s="37" t="str">
        <f>INPUT!AM137</f>
        <v>ABS</v>
      </c>
      <c r="AC137" s="37" t="str">
        <f>INPUT!AO137</f>
        <v>ABS</v>
      </c>
      <c r="AD137" s="46" t="str">
        <f>INPUT!AN137</f>
        <v>ABS</v>
      </c>
      <c r="AE137" s="204">
        <f>INPUT!AP137</f>
        <v>0</v>
      </c>
      <c r="AF137" s="37" t="str">
        <f>INPUT!AR137</f>
        <v>ABS</v>
      </c>
      <c r="AG137" s="37" t="str">
        <f>INPUT!AT137</f>
        <v>ABS</v>
      </c>
      <c r="AH137" s="37" t="str">
        <f>INPUT!AV137</f>
        <v>ABS</v>
      </c>
      <c r="AI137" s="38" t="str">
        <f>INPUT!AU137</f>
        <v>ABS</v>
      </c>
      <c r="AJ137" s="40" t="str">
        <f t="shared" si="8"/>
        <v>-</v>
      </c>
      <c r="AK137" s="211">
        <f>INPUT!AX137</f>
        <v>0</v>
      </c>
      <c r="AL137" s="37" t="str">
        <f>INPUT!AZ137</f>
        <v>ABS</v>
      </c>
      <c r="AM137" s="37" t="str">
        <f>INPUT!BB137</f>
        <v>ABS</v>
      </c>
      <c r="AN137" s="37" t="str">
        <f>INPUT!BD137</f>
        <v>ABS</v>
      </c>
      <c r="AO137" s="212" t="str">
        <f>INPUT!BC137</f>
        <v>ABS</v>
      </c>
      <c r="AP137" s="41" t="str">
        <f t="shared" si="9"/>
        <v/>
      </c>
      <c r="AQ137" s="41" t="str">
        <f t="shared" si="10"/>
        <v>ABS</v>
      </c>
      <c r="AR137" s="41" t="str">
        <f t="shared" si="11"/>
        <v/>
      </c>
      <c r="AS137" s="30"/>
      <c r="AT137" s="30"/>
      <c r="AU137" s="30"/>
      <c r="AV137" s="30"/>
      <c r="AX137" s="114" t="str">
        <f>AJ137&amp;"_"&amp;COUNTIF($AJ$5:AJ137,AJ137)</f>
        <v>-_127</v>
      </c>
    </row>
    <row r="138" spans="1:50">
      <c r="A138" s="112"/>
      <c r="B138" s="44">
        <f>INPUT!F138</f>
        <v>0</v>
      </c>
      <c r="C138" s="50">
        <f>INPUT!C138</f>
        <v>0</v>
      </c>
      <c r="D138" s="50">
        <f>INPUT!D138</f>
        <v>0</v>
      </c>
      <c r="E138" s="51">
        <f>INPUT!E138</f>
        <v>0</v>
      </c>
      <c r="F138" s="39" t="str">
        <f>INPUT!G138</f>
        <v>0011</v>
      </c>
      <c r="G138" s="37" t="str">
        <f>INPUT!I138</f>
        <v>ABS</v>
      </c>
      <c r="H138" s="37" t="str">
        <f>INPUT!K138</f>
        <v>ABS</v>
      </c>
      <c r="I138" s="37" t="str">
        <f>INPUT!M138</f>
        <v>ABS</v>
      </c>
      <c r="J138" s="38" t="str">
        <f>INPUT!L138</f>
        <v>ABS</v>
      </c>
      <c r="K138" s="205" t="str">
        <f>INPUT!N138</f>
        <v>0031</v>
      </c>
      <c r="L138" s="37" t="str">
        <f>INPUT!P138</f>
        <v>ABS</v>
      </c>
      <c r="M138" s="37" t="str">
        <f>INPUT!R138</f>
        <v>ABS</v>
      </c>
      <c r="N138" s="37" t="str">
        <f>INPUT!T138</f>
        <v>ABS</v>
      </c>
      <c r="O138" s="46" t="str">
        <f>INPUT!S138</f>
        <v>ABS</v>
      </c>
      <c r="P138" s="202" t="str">
        <f>INPUT!U138</f>
        <v>0051</v>
      </c>
      <c r="Q138" s="37" t="str">
        <f>INPUT!W138</f>
        <v>ABS</v>
      </c>
      <c r="R138" s="37" t="str">
        <f>INPUT!Y138</f>
        <v>ABS</v>
      </c>
      <c r="S138" s="37" t="str">
        <f>INPUT!AA138</f>
        <v>ABS</v>
      </c>
      <c r="T138" s="38" t="str">
        <f>INPUT!Z138</f>
        <v>ABS</v>
      </c>
      <c r="U138" s="209">
        <f>INPUT!AB138</f>
        <v>0</v>
      </c>
      <c r="V138" s="37" t="str">
        <f>INPUT!AD138</f>
        <v>ABS</v>
      </c>
      <c r="W138" s="37" t="str">
        <f>INPUT!AF138</f>
        <v>ABS</v>
      </c>
      <c r="X138" s="37" t="str">
        <f>INPUT!AH138</f>
        <v>ABS</v>
      </c>
      <c r="Y138" s="46" t="str">
        <f>INPUT!AG138</f>
        <v>ABS</v>
      </c>
      <c r="Z138" s="209">
        <f>INPUT!AI138</f>
        <v>0</v>
      </c>
      <c r="AA138" s="37" t="str">
        <f>INPUT!AK138</f>
        <v>ABS</v>
      </c>
      <c r="AB138" s="37" t="str">
        <f>INPUT!AM138</f>
        <v>ABS</v>
      </c>
      <c r="AC138" s="37" t="str">
        <f>INPUT!AO138</f>
        <v>ABS</v>
      </c>
      <c r="AD138" s="46" t="str">
        <f>INPUT!AN138</f>
        <v>ABS</v>
      </c>
      <c r="AE138" s="204">
        <f>INPUT!AP138</f>
        <v>0</v>
      </c>
      <c r="AF138" s="37" t="str">
        <f>INPUT!AR138</f>
        <v>ABS</v>
      </c>
      <c r="AG138" s="37" t="str">
        <f>INPUT!AT138</f>
        <v>ABS</v>
      </c>
      <c r="AH138" s="37" t="str">
        <f>INPUT!AV138</f>
        <v>ABS</v>
      </c>
      <c r="AI138" s="38" t="str">
        <f>INPUT!AU138</f>
        <v>ABS</v>
      </c>
      <c r="AJ138" s="40" t="str">
        <f t="shared" si="8"/>
        <v>-</v>
      </c>
      <c r="AK138" s="211">
        <f>INPUT!AX138</f>
        <v>0</v>
      </c>
      <c r="AL138" s="37" t="str">
        <f>INPUT!AZ138</f>
        <v>ABS</v>
      </c>
      <c r="AM138" s="37" t="str">
        <f>INPUT!BB138</f>
        <v>ABS</v>
      </c>
      <c r="AN138" s="37" t="str">
        <f>INPUT!BD138</f>
        <v>ABS</v>
      </c>
      <c r="AO138" s="212" t="str">
        <f>INPUT!BC138</f>
        <v>ABS</v>
      </c>
      <c r="AP138" s="41" t="str">
        <f t="shared" si="9"/>
        <v/>
      </c>
      <c r="AQ138" s="41" t="str">
        <f t="shared" si="10"/>
        <v>ABS</v>
      </c>
      <c r="AR138" s="41" t="str">
        <f t="shared" si="11"/>
        <v/>
      </c>
      <c r="AS138" s="30"/>
      <c r="AT138" s="30"/>
      <c r="AU138" s="30"/>
      <c r="AV138" s="30"/>
      <c r="AX138" s="114" t="str">
        <f>AJ138&amp;"_"&amp;COUNTIF($AJ$5:AJ138,AJ138)</f>
        <v>-_128</v>
      </c>
    </row>
    <row r="139" spans="1:50">
      <c r="A139" s="112"/>
      <c r="B139" s="44">
        <f>INPUT!F139</f>
        <v>0</v>
      </c>
      <c r="C139" s="50">
        <f>INPUT!C139</f>
        <v>0</v>
      </c>
      <c r="D139" s="50">
        <f>INPUT!D139</f>
        <v>0</v>
      </c>
      <c r="E139" s="51">
        <f>INPUT!E139</f>
        <v>0</v>
      </c>
      <c r="F139" s="39" t="str">
        <f>INPUT!G139</f>
        <v>0011</v>
      </c>
      <c r="G139" s="37" t="str">
        <f>INPUT!I139</f>
        <v>ABS</v>
      </c>
      <c r="H139" s="37" t="str">
        <f>INPUT!K139</f>
        <v>ABS</v>
      </c>
      <c r="I139" s="37" t="str">
        <f>INPUT!M139</f>
        <v>ABS</v>
      </c>
      <c r="J139" s="38" t="str">
        <f>INPUT!L139</f>
        <v>ABS</v>
      </c>
      <c r="K139" s="205" t="str">
        <f>INPUT!N139</f>
        <v>0031</v>
      </c>
      <c r="L139" s="37" t="str">
        <f>INPUT!P139</f>
        <v>ABS</v>
      </c>
      <c r="M139" s="37" t="str">
        <f>INPUT!R139</f>
        <v>ABS</v>
      </c>
      <c r="N139" s="37" t="str">
        <f>INPUT!T139</f>
        <v>ABS</v>
      </c>
      <c r="O139" s="46" t="str">
        <f>INPUT!S139</f>
        <v>ABS</v>
      </c>
      <c r="P139" s="202" t="str">
        <f>INPUT!U139</f>
        <v>0051</v>
      </c>
      <c r="Q139" s="37" t="str">
        <f>INPUT!W139</f>
        <v>ABS</v>
      </c>
      <c r="R139" s="37" t="str">
        <f>INPUT!Y139</f>
        <v>ABS</v>
      </c>
      <c r="S139" s="37" t="str">
        <f>INPUT!AA139</f>
        <v>ABS</v>
      </c>
      <c r="T139" s="38" t="str">
        <f>INPUT!Z139</f>
        <v>ABS</v>
      </c>
      <c r="U139" s="209">
        <f>INPUT!AB139</f>
        <v>0</v>
      </c>
      <c r="V139" s="37" t="str">
        <f>INPUT!AD139</f>
        <v>ABS</v>
      </c>
      <c r="W139" s="37" t="str">
        <f>INPUT!AF139</f>
        <v>ABS</v>
      </c>
      <c r="X139" s="37" t="str">
        <f>INPUT!AH139</f>
        <v>ABS</v>
      </c>
      <c r="Y139" s="46" t="str">
        <f>INPUT!AG139</f>
        <v>ABS</v>
      </c>
      <c r="Z139" s="209">
        <f>INPUT!AI139</f>
        <v>0</v>
      </c>
      <c r="AA139" s="37" t="str">
        <f>INPUT!AK139</f>
        <v>ABS</v>
      </c>
      <c r="AB139" s="37" t="str">
        <f>INPUT!AM139</f>
        <v>ABS</v>
      </c>
      <c r="AC139" s="37" t="str">
        <f>INPUT!AO139</f>
        <v>ABS</v>
      </c>
      <c r="AD139" s="46" t="str">
        <f>INPUT!AN139</f>
        <v>ABS</v>
      </c>
      <c r="AE139" s="204">
        <f>INPUT!AP139</f>
        <v>0</v>
      </c>
      <c r="AF139" s="37" t="str">
        <f>INPUT!AR139</f>
        <v>ABS</v>
      </c>
      <c r="AG139" s="37" t="str">
        <f>INPUT!AT139</f>
        <v>ABS</v>
      </c>
      <c r="AH139" s="37" t="str">
        <f>INPUT!AV139</f>
        <v>ABS</v>
      </c>
      <c r="AI139" s="38" t="str">
        <f>INPUT!AU139</f>
        <v>ABS</v>
      </c>
      <c r="AJ139" s="40" t="str">
        <f t="shared" si="8"/>
        <v>-</v>
      </c>
      <c r="AK139" s="211">
        <f>INPUT!AX139</f>
        <v>0</v>
      </c>
      <c r="AL139" s="37" t="str">
        <f>INPUT!AZ139</f>
        <v>ABS</v>
      </c>
      <c r="AM139" s="37" t="str">
        <f>INPUT!BB139</f>
        <v>ABS</v>
      </c>
      <c r="AN139" s="37" t="str">
        <f>INPUT!BD139</f>
        <v>ABS</v>
      </c>
      <c r="AO139" s="212" t="str">
        <f>INPUT!BC139</f>
        <v>ABS</v>
      </c>
      <c r="AP139" s="41" t="str">
        <f t="shared" si="9"/>
        <v/>
      </c>
      <c r="AQ139" s="41" t="str">
        <f t="shared" si="10"/>
        <v>ABS</v>
      </c>
      <c r="AR139" s="41" t="str">
        <f t="shared" si="11"/>
        <v/>
      </c>
      <c r="AS139" s="30"/>
      <c r="AT139" s="30"/>
      <c r="AU139" s="30"/>
      <c r="AV139" s="30"/>
      <c r="AX139" s="114" t="str">
        <f>AJ139&amp;"_"&amp;COUNTIF($AJ$5:AJ139,AJ139)</f>
        <v>-_129</v>
      </c>
    </row>
    <row r="140" spans="1:50">
      <c r="A140" s="112"/>
      <c r="B140" s="44">
        <f>INPUT!F140</f>
        <v>0</v>
      </c>
      <c r="C140" s="50">
        <f>INPUT!C140</f>
        <v>0</v>
      </c>
      <c r="D140" s="50">
        <f>INPUT!D140</f>
        <v>0</v>
      </c>
      <c r="E140" s="51">
        <f>INPUT!E140</f>
        <v>0</v>
      </c>
      <c r="F140" s="39" t="str">
        <f>INPUT!G140</f>
        <v>0011</v>
      </c>
      <c r="G140" s="37" t="str">
        <f>INPUT!I140</f>
        <v>ABS</v>
      </c>
      <c r="H140" s="37" t="str">
        <f>INPUT!K140</f>
        <v>ABS</v>
      </c>
      <c r="I140" s="37" t="str">
        <f>INPUT!M140</f>
        <v>ABS</v>
      </c>
      <c r="J140" s="38" t="str">
        <f>INPUT!L140</f>
        <v>ABS</v>
      </c>
      <c r="K140" s="205" t="str">
        <f>INPUT!N140</f>
        <v>0031</v>
      </c>
      <c r="L140" s="37" t="str">
        <f>INPUT!P140</f>
        <v>ABS</v>
      </c>
      <c r="M140" s="37" t="str">
        <f>INPUT!R140</f>
        <v>ABS</v>
      </c>
      <c r="N140" s="37" t="str">
        <f>INPUT!T140</f>
        <v>ABS</v>
      </c>
      <c r="O140" s="46" t="str">
        <f>INPUT!S140</f>
        <v>ABS</v>
      </c>
      <c r="P140" s="202" t="str">
        <f>INPUT!U140</f>
        <v>0051</v>
      </c>
      <c r="Q140" s="37" t="str">
        <f>INPUT!W140</f>
        <v>ABS</v>
      </c>
      <c r="R140" s="37" t="str">
        <f>INPUT!Y140</f>
        <v>ABS</v>
      </c>
      <c r="S140" s="37" t="str">
        <f>INPUT!AA140</f>
        <v>ABS</v>
      </c>
      <c r="T140" s="38" t="str">
        <f>INPUT!Z140</f>
        <v>ABS</v>
      </c>
      <c r="U140" s="209">
        <f>INPUT!AB140</f>
        <v>0</v>
      </c>
      <c r="V140" s="37" t="str">
        <f>INPUT!AD140</f>
        <v>ABS</v>
      </c>
      <c r="W140" s="37" t="str">
        <f>INPUT!AF140</f>
        <v>ABS</v>
      </c>
      <c r="X140" s="37" t="str">
        <f>INPUT!AH140</f>
        <v>ABS</v>
      </c>
      <c r="Y140" s="46" t="str">
        <f>INPUT!AG140</f>
        <v>ABS</v>
      </c>
      <c r="Z140" s="209">
        <f>INPUT!AI140</f>
        <v>0</v>
      </c>
      <c r="AA140" s="37" t="str">
        <f>INPUT!AK140</f>
        <v>ABS</v>
      </c>
      <c r="AB140" s="37" t="str">
        <f>INPUT!AM140</f>
        <v>ABS</v>
      </c>
      <c r="AC140" s="37" t="str">
        <f>INPUT!AO140</f>
        <v>ABS</v>
      </c>
      <c r="AD140" s="46" t="str">
        <f>INPUT!AN140</f>
        <v>ABS</v>
      </c>
      <c r="AE140" s="204">
        <f>INPUT!AP140</f>
        <v>0</v>
      </c>
      <c r="AF140" s="37" t="str">
        <f>INPUT!AR140</f>
        <v>ABS</v>
      </c>
      <c r="AG140" s="37" t="str">
        <f>INPUT!AT140</f>
        <v>ABS</v>
      </c>
      <c r="AH140" s="37" t="str">
        <f>INPUT!AV140</f>
        <v>ABS</v>
      </c>
      <c r="AI140" s="38" t="str">
        <f>INPUT!AU140</f>
        <v>ABS</v>
      </c>
      <c r="AJ140" s="40" t="str">
        <f t="shared" si="8"/>
        <v>-</v>
      </c>
      <c r="AK140" s="211">
        <f>INPUT!AX140</f>
        <v>0</v>
      </c>
      <c r="AL140" s="37" t="str">
        <f>INPUT!AZ140</f>
        <v>ABS</v>
      </c>
      <c r="AM140" s="37" t="str">
        <f>INPUT!BB140</f>
        <v>ABS</v>
      </c>
      <c r="AN140" s="37" t="str">
        <f>INPUT!BD140</f>
        <v>ABS</v>
      </c>
      <c r="AO140" s="212" t="str">
        <f>INPUT!BC140</f>
        <v>ABS</v>
      </c>
      <c r="AP140" s="41" t="str">
        <f t="shared" si="9"/>
        <v/>
      </c>
      <c r="AQ140" s="41" t="str">
        <f t="shared" si="10"/>
        <v>ABS</v>
      </c>
      <c r="AR140" s="41" t="str">
        <f t="shared" si="11"/>
        <v/>
      </c>
      <c r="AS140" s="30"/>
      <c r="AT140" s="30"/>
      <c r="AU140" s="30"/>
      <c r="AV140" s="30"/>
      <c r="AX140" s="114" t="str">
        <f>AJ140&amp;"_"&amp;COUNTIF($AJ$5:AJ140,AJ140)</f>
        <v>-_130</v>
      </c>
    </row>
    <row r="141" spans="1:50">
      <c r="A141" s="112"/>
      <c r="B141" s="44">
        <f>INPUT!F141</f>
        <v>0</v>
      </c>
      <c r="C141" s="50">
        <f>INPUT!C141</f>
        <v>0</v>
      </c>
      <c r="D141" s="50">
        <f>INPUT!D141</f>
        <v>0</v>
      </c>
      <c r="E141" s="51">
        <f>INPUT!E141</f>
        <v>0</v>
      </c>
      <c r="F141" s="39" t="str">
        <f>INPUT!G141</f>
        <v>0011</v>
      </c>
      <c r="G141" s="37" t="str">
        <f>INPUT!I141</f>
        <v>ABS</v>
      </c>
      <c r="H141" s="37" t="str">
        <f>INPUT!K141</f>
        <v>ABS</v>
      </c>
      <c r="I141" s="37" t="str">
        <f>INPUT!M141</f>
        <v>ABS</v>
      </c>
      <c r="J141" s="38" t="str">
        <f>INPUT!L141</f>
        <v>ABS</v>
      </c>
      <c r="K141" s="205" t="str">
        <f>INPUT!N141</f>
        <v>0031</v>
      </c>
      <c r="L141" s="37" t="str">
        <f>INPUT!P141</f>
        <v>ABS</v>
      </c>
      <c r="M141" s="37" t="str">
        <f>INPUT!R141</f>
        <v>ABS</v>
      </c>
      <c r="N141" s="37" t="str">
        <f>INPUT!T141</f>
        <v>ABS</v>
      </c>
      <c r="O141" s="46" t="str">
        <f>INPUT!S141</f>
        <v>ABS</v>
      </c>
      <c r="P141" s="202" t="str">
        <f>INPUT!U141</f>
        <v>0051</v>
      </c>
      <c r="Q141" s="37" t="str">
        <f>INPUT!W141</f>
        <v>ABS</v>
      </c>
      <c r="R141" s="37" t="str">
        <f>INPUT!Y141</f>
        <v>ABS</v>
      </c>
      <c r="S141" s="37" t="str">
        <f>INPUT!AA141</f>
        <v>ABS</v>
      </c>
      <c r="T141" s="38" t="str">
        <f>INPUT!Z141</f>
        <v>ABS</v>
      </c>
      <c r="U141" s="209">
        <f>INPUT!AB141</f>
        <v>0</v>
      </c>
      <c r="V141" s="37" t="str">
        <f>INPUT!AD141</f>
        <v>ABS</v>
      </c>
      <c r="W141" s="37" t="str">
        <f>INPUT!AF141</f>
        <v>ABS</v>
      </c>
      <c r="X141" s="37" t="str">
        <f>INPUT!AH141</f>
        <v>ABS</v>
      </c>
      <c r="Y141" s="46" t="str">
        <f>INPUT!AG141</f>
        <v>ABS</v>
      </c>
      <c r="Z141" s="209">
        <f>INPUT!AI141</f>
        <v>0</v>
      </c>
      <c r="AA141" s="37" t="str">
        <f>INPUT!AK141</f>
        <v>ABS</v>
      </c>
      <c r="AB141" s="37" t="str">
        <f>INPUT!AM141</f>
        <v>ABS</v>
      </c>
      <c r="AC141" s="37" t="str">
        <f>INPUT!AO141</f>
        <v>ABS</v>
      </c>
      <c r="AD141" s="46" t="str">
        <f>INPUT!AN141</f>
        <v>ABS</v>
      </c>
      <c r="AE141" s="204">
        <f>INPUT!AP141</f>
        <v>0</v>
      </c>
      <c r="AF141" s="37" t="str">
        <f>INPUT!AR141</f>
        <v>ABS</v>
      </c>
      <c r="AG141" s="37" t="str">
        <f>INPUT!AT141</f>
        <v>ABS</v>
      </c>
      <c r="AH141" s="37" t="str">
        <f>INPUT!AV141</f>
        <v>ABS</v>
      </c>
      <c r="AI141" s="38" t="str">
        <f>INPUT!AU141</f>
        <v>ABS</v>
      </c>
      <c r="AJ141" s="40" t="str">
        <f t="shared" si="8"/>
        <v>-</v>
      </c>
      <c r="AK141" s="211">
        <f>INPUT!AX141</f>
        <v>0</v>
      </c>
      <c r="AL141" s="37" t="str">
        <f>INPUT!AZ141</f>
        <v>ABS</v>
      </c>
      <c r="AM141" s="37" t="str">
        <f>INPUT!BB141</f>
        <v>ABS</v>
      </c>
      <c r="AN141" s="37" t="str">
        <f>INPUT!BD141</f>
        <v>ABS</v>
      </c>
      <c r="AO141" s="212" t="str">
        <f>INPUT!BC141</f>
        <v>ABS</v>
      </c>
      <c r="AP141" s="41" t="str">
        <f t="shared" si="9"/>
        <v/>
      </c>
      <c r="AQ141" s="41" t="str">
        <f t="shared" si="10"/>
        <v>ABS</v>
      </c>
      <c r="AR141" s="41" t="str">
        <f t="shared" si="11"/>
        <v/>
      </c>
      <c r="AS141" s="30"/>
      <c r="AT141" s="30"/>
      <c r="AU141" s="30"/>
      <c r="AV141" s="30"/>
      <c r="AX141" s="114" t="str">
        <f>AJ141&amp;"_"&amp;COUNTIF($AJ$5:AJ141,AJ141)</f>
        <v>-_131</v>
      </c>
    </row>
    <row r="142" spans="1:50">
      <c r="A142" s="112"/>
      <c r="B142" s="44">
        <f>INPUT!F142</f>
        <v>0</v>
      </c>
      <c r="C142" s="50">
        <f>INPUT!C142</f>
        <v>0</v>
      </c>
      <c r="D142" s="50">
        <f>INPUT!D142</f>
        <v>0</v>
      </c>
      <c r="E142" s="51">
        <f>INPUT!E142</f>
        <v>0</v>
      </c>
      <c r="F142" s="39" t="str">
        <f>INPUT!G142</f>
        <v>0011</v>
      </c>
      <c r="G142" s="37" t="str">
        <f>INPUT!I142</f>
        <v>ABS</v>
      </c>
      <c r="H142" s="37" t="str">
        <f>INPUT!K142</f>
        <v>ABS</v>
      </c>
      <c r="I142" s="37" t="str">
        <f>INPUT!M142</f>
        <v>ABS</v>
      </c>
      <c r="J142" s="38" t="str">
        <f>INPUT!L142</f>
        <v>ABS</v>
      </c>
      <c r="K142" s="205" t="str">
        <f>INPUT!N142</f>
        <v>0031</v>
      </c>
      <c r="L142" s="37" t="str">
        <f>INPUT!P142</f>
        <v>ABS</v>
      </c>
      <c r="M142" s="37" t="str">
        <f>INPUT!R142</f>
        <v>ABS</v>
      </c>
      <c r="N142" s="37" t="str">
        <f>INPUT!T142</f>
        <v>ABS</v>
      </c>
      <c r="O142" s="46" t="str">
        <f>INPUT!S142</f>
        <v>ABS</v>
      </c>
      <c r="P142" s="202" t="str">
        <f>INPUT!U142</f>
        <v>0051</v>
      </c>
      <c r="Q142" s="37" t="str">
        <f>INPUT!W142</f>
        <v>ABS</v>
      </c>
      <c r="R142" s="37" t="str">
        <f>INPUT!Y142</f>
        <v>ABS</v>
      </c>
      <c r="S142" s="37" t="str">
        <f>INPUT!AA142</f>
        <v>ABS</v>
      </c>
      <c r="T142" s="38" t="str">
        <f>INPUT!Z142</f>
        <v>ABS</v>
      </c>
      <c r="U142" s="209">
        <f>INPUT!AB142</f>
        <v>0</v>
      </c>
      <c r="V142" s="37" t="str">
        <f>INPUT!AD142</f>
        <v>ABS</v>
      </c>
      <c r="W142" s="37" t="str">
        <f>INPUT!AF142</f>
        <v>ABS</v>
      </c>
      <c r="X142" s="37" t="str">
        <f>INPUT!AH142</f>
        <v>ABS</v>
      </c>
      <c r="Y142" s="46" t="str">
        <f>INPUT!AG142</f>
        <v>ABS</v>
      </c>
      <c r="Z142" s="209">
        <f>INPUT!AI142</f>
        <v>0</v>
      </c>
      <c r="AA142" s="37" t="str">
        <f>INPUT!AK142</f>
        <v>ABS</v>
      </c>
      <c r="AB142" s="37" t="str">
        <f>INPUT!AM142</f>
        <v>ABS</v>
      </c>
      <c r="AC142" s="37" t="str">
        <f>INPUT!AO142</f>
        <v>ABS</v>
      </c>
      <c r="AD142" s="46" t="str">
        <f>INPUT!AN142</f>
        <v>ABS</v>
      </c>
      <c r="AE142" s="204">
        <f>INPUT!AP142</f>
        <v>0</v>
      </c>
      <c r="AF142" s="37" t="str">
        <f>INPUT!AR142</f>
        <v>ABS</v>
      </c>
      <c r="AG142" s="37" t="str">
        <f>INPUT!AT142</f>
        <v>ABS</v>
      </c>
      <c r="AH142" s="37" t="str">
        <f>INPUT!AV142</f>
        <v>ABS</v>
      </c>
      <c r="AI142" s="38" t="str">
        <f>INPUT!AU142</f>
        <v>ABS</v>
      </c>
      <c r="AJ142" s="40" t="str">
        <f t="shared" si="8"/>
        <v>-</v>
      </c>
      <c r="AK142" s="211">
        <f>INPUT!AX142</f>
        <v>0</v>
      </c>
      <c r="AL142" s="37" t="str">
        <f>INPUT!AZ142</f>
        <v>ABS</v>
      </c>
      <c r="AM142" s="37" t="str">
        <f>INPUT!BB142</f>
        <v>ABS</v>
      </c>
      <c r="AN142" s="37" t="str">
        <f>INPUT!BD142</f>
        <v>ABS</v>
      </c>
      <c r="AO142" s="212" t="str">
        <f>INPUT!BC142</f>
        <v>ABS</v>
      </c>
      <c r="AP142" s="41" t="str">
        <f t="shared" si="9"/>
        <v/>
      </c>
      <c r="AQ142" s="41" t="str">
        <f t="shared" si="10"/>
        <v>ABS</v>
      </c>
      <c r="AR142" s="41" t="str">
        <f t="shared" si="11"/>
        <v/>
      </c>
      <c r="AS142" s="30"/>
      <c r="AT142" s="30"/>
      <c r="AU142" s="30"/>
      <c r="AV142" s="30"/>
      <c r="AX142" s="114" t="str">
        <f>AJ142&amp;"_"&amp;COUNTIF($AJ$5:AJ142,AJ142)</f>
        <v>-_132</v>
      </c>
    </row>
    <row r="143" spans="1:50">
      <c r="A143" s="112"/>
      <c r="B143" s="44">
        <f>INPUT!F143</f>
        <v>0</v>
      </c>
      <c r="C143" s="50">
        <f>INPUT!C143</f>
        <v>0</v>
      </c>
      <c r="D143" s="50">
        <f>INPUT!D143</f>
        <v>0</v>
      </c>
      <c r="E143" s="51">
        <f>INPUT!E143</f>
        <v>0</v>
      </c>
      <c r="F143" s="39" t="str">
        <f>INPUT!G143</f>
        <v>0011</v>
      </c>
      <c r="G143" s="37" t="str">
        <f>INPUT!I143</f>
        <v>ABS</v>
      </c>
      <c r="H143" s="37" t="str">
        <f>INPUT!K143</f>
        <v>ABS</v>
      </c>
      <c r="I143" s="37" t="str">
        <f>INPUT!M143</f>
        <v>ABS</v>
      </c>
      <c r="J143" s="38" t="str">
        <f>INPUT!L143</f>
        <v>ABS</v>
      </c>
      <c r="K143" s="205" t="str">
        <f>INPUT!N143</f>
        <v>0031</v>
      </c>
      <c r="L143" s="37" t="str">
        <f>INPUT!P143</f>
        <v>ABS</v>
      </c>
      <c r="M143" s="37" t="str">
        <f>INPUT!R143</f>
        <v>ABS</v>
      </c>
      <c r="N143" s="37" t="str">
        <f>INPUT!T143</f>
        <v>ABS</v>
      </c>
      <c r="O143" s="46" t="str">
        <f>INPUT!S143</f>
        <v>ABS</v>
      </c>
      <c r="P143" s="202" t="str">
        <f>INPUT!U143</f>
        <v>0051</v>
      </c>
      <c r="Q143" s="37" t="str">
        <f>INPUT!W143</f>
        <v>ABS</v>
      </c>
      <c r="R143" s="37" t="str">
        <f>INPUT!Y143</f>
        <v>ABS</v>
      </c>
      <c r="S143" s="37" t="str">
        <f>INPUT!AA143</f>
        <v>ABS</v>
      </c>
      <c r="T143" s="38" t="str">
        <f>INPUT!Z143</f>
        <v>ABS</v>
      </c>
      <c r="U143" s="209">
        <f>INPUT!AB143</f>
        <v>0</v>
      </c>
      <c r="V143" s="37" t="str">
        <f>INPUT!AD143</f>
        <v>ABS</v>
      </c>
      <c r="W143" s="37" t="str">
        <f>INPUT!AF143</f>
        <v>ABS</v>
      </c>
      <c r="X143" s="37" t="str">
        <f>INPUT!AH143</f>
        <v>ABS</v>
      </c>
      <c r="Y143" s="46" t="str">
        <f>INPUT!AG143</f>
        <v>ABS</v>
      </c>
      <c r="Z143" s="209">
        <f>INPUT!AI143</f>
        <v>0</v>
      </c>
      <c r="AA143" s="37" t="str">
        <f>INPUT!AK143</f>
        <v>ABS</v>
      </c>
      <c r="AB143" s="37" t="str">
        <f>INPUT!AM143</f>
        <v>ABS</v>
      </c>
      <c r="AC143" s="37" t="str">
        <f>INPUT!AO143</f>
        <v>ABS</v>
      </c>
      <c r="AD143" s="46" t="str">
        <f>INPUT!AN143</f>
        <v>ABS</v>
      </c>
      <c r="AE143" s="204">
        <f>INPUT!AP143</f>
        <v>0</v>
      </c>
      <c r="AF143" s="37" t="str">
        <f>INPUT!AR143</f>
        <v>ABS</v>
      </c>
      <c r="AG143" s="37" t="str">
        <f>INPUT!AT143</f>
        <v>ABS</v>
      </c>
      <c r="AH143" s="37" t="str">
        <f>INPUT!AV143</f>
        <v>ABS</v>
      </c>
      <c r="AI143" s="38" t="str">
        <f>INPUT!AU143</f>
        <v>ABS</v>
      </c>
      <c r="AJ143" s="40" t="str">
        <f t="shared" si="8"/>
        <v>-</v>
      </c>
      <c r="AK143" s="211">
        <f>INPUT!AX143</f>
        <v>0</v>
      </c>
      <c r="AL143" s="37" t="str">
        <f>INPUT!AZ143</f>
        <v>ABS</v>
      </c>
      <c r="AM143" s="37" t="str">
        <f>INPUT!BB143</f>
        <v>ABS</v>
      </c>
      <c r="AN143" s="37" t="str">
        <f>INPUT!BD143</f>
        <v>ABS</v>
      </c>
      <c r="AO143" s="212" t="str">
        <f>INPUT!BC143</f>
        <v>ABS</v>
      </c>
      <c r="AP143" s="41" t="str">
        <f t="shared" si="9"/>
        <v/>
      </c>
      <c r="AQ143" s="41" t="str">
        <f t="shared" si="10"/>
        <v>ABS</v>
      </c>
      <c r="AR143" s="41" t="str">
        <f t="shared" si="11"/>
        <v/>
      </c>
      <c r="AS143" s="30"/>
      <c r="AT143" s="30"/>
      <c r="AU143" s="30"/>
      <c r="AV143" s="30"/>
      <c r="AX143" s="114" t="str">
        <f>AJ143&amp;"_"&amp;COUNTIF($AJ$5:AJ143,AJ143)</f>
        <v>-_133</v>
      </c>
    </row>
    <row r="144" spans="1:50">
      <c r="A144" s="112"/>
      <c r="B144" s="44">
        <f>INPUT!F144</f>
        <v>0</v>
      </c>
      <c r="C144" s="50">
        <f>INPUT!C144</f>
        <v>0</v>
      </c>
      <c r="D144" s="50">
        <f>INPUT!D144</f>
        <v>0</v>
      </c>
      <c r="E144" s="51">
        <f>INPUT!E144</f>
        <v>0</v>
      </c>
      <c r="F144" s="39" t="str">
        <f>INPUT!G144</f>
        <v>0011</v>
      </c>
      <c r="G144" s="37" t="str">
        <f>INPUT!I144</f>
        <v>ABS</v>
      </c>
      <c r="H144" s="37" t="str">
        <f>INPUT!K144</f>
        <v>ABS</v>
      </c>
      <c r="I144" s="37" t="str">
        <f>INPUT!M144</f>
        <v>ABS</v>
      </c>
      <c r="J144" s="38" t="str">
        <f>INPUT!L144</f>
        <v>ABS</v>
      </c>
      <c r="K144" s="205" t="str">
        <f>INPUT!N144</f>
        <v>0031</v>
      </c>
      <c r="L144" s="37" t="str">
        <f>INPUT!P144</f>
        <v>ABS</v>
      </c>
      <c r="M144" s="37" t="str">
        <f>INPUT!R144</f>
        <v>ABS</v>
      </c>
      <c r="N144" s="37" t="str">
        <f>INPUT!T144</f>
        <v>ABS</v>
      </c>
      <c r="O144" s="46" t="str">
        <f>INPUT!S144</f>
        <v>ABS</v>
      </c>
      <c r="P144" s="202" t="str">
        <f>INPUT!U144</f>
        <v>0051</v>
      </c>
      <c r="Q144" s="37" t="str">
        <f>INPUT!W144</f>
        <v>ABS</v>
      </c>
      <c r="R144" s="37" t="str">
        <f>INPUT!Y144</f>
        <v>ABS</v>
      </c>
      <c r="S144" s="37" t="str">
        <f>INPUT!AA144</f>
        <v>ABS</v>
      </c>
      <c r="T144" s="38" t="str">
        <f>INPUT!Z144</f>
        <v>ABS</v>
      </c>
      <c r="U144" s="209">
        <f>INPUT!AB144</f>
        <v>0</v>
      </c>
      <c r="V144" s="37" t="str">
        <f>INPUT!AD144</f>
        <v>ABS</v>
      </c>
      <c r="W144" s="37" t="str">
        <f>INPUT!AF144</f>
        <v>ABS</v>
      </c>
      <c r="X144" s="37" t="str">
        <f>INPUT!AH144</f>
        <v>ABS</v>
      </c>
      <c r="Y144" s="46" t="str">
        <f>INPUT!AG144</f>
        <v>ABS</v>
      </c>
      <c r="Z144" s="209">
        <f>INPUT!AI144</f>
        <v>0</v>
      </c>
      <c r="AA144" s="37" t="str">
        <f>INPUT!AK144</f>
        <v>ABS</v>
      </c>
      <c r="AB144" s="37" t="str">
        <f>INPUT!AM144</f>
        <v>ABS</v>
      </c>
      <c r="AC144" s="37" t="str">
        <f>INPUT!AO144</f>
        <v>ABS</v>
      </c>
      <c r="AD144" s="46" t="str">
        <f>INPUT!AN144</f>
        <v>ABS</v>
      </c>
      <c r="AE144" s="204">
        <f>INPUT!AP144</f>
        <v>0</v>
      </c>
      <c r="AF144" s="37" t="str">
        <f>INPUT!AR144</f>
        <v>ABS</v>
      </c>
      <c r="AG144" s="37" t="str">
        <f>INPUT!AT144</f>
        <v>ABS</v>
      </c>
      <c r="AH144" s="37" t="str">
        <f>INPUT!AV144</f>
        <v>ABS</v>
      </c>
      <c r="AI144" s="38" t="str">
        <f>INPUT!AU144</f>
        <v>ABS</v>
      </c>
      <c r="AJ144" s="40" t="str">
        <f t="shared" si="8"/>
        <v>-</v>
      </c>
      <c r="AK144" s="211">
        <f>INPUT!AX144</f>
        <v>0</v>
      </c>
      <c r="AL144" s="37" t="str">
        <f>INPUT!AZ144</f>
        <v>ABS</v>
      </c>
      <c r="AM144" s="37" t="str">
        <f>INPUT!BB144</f>
        <v>ABS</v>
      </c>
      <c r="AN144" s="37" t="str">
        <f>INPUT!BD144</f>
        <v>ABS</v>
      </c>
      <c r="AO144" s="212" t="str">
        <f>INPUT!BC144</f>
        <v>ABS</v>
      </c>
      <c r="AP144" s="41" t="str">
        <f t="shared" si="9"/>
        <v/>
      </c>
      <c r="AQ144" s="41" t="str">
        <f t="shared" si="10"/>
        <v>ABS</v>
      </c>
      <c r="AR144" s="41" t="str">
        <f t="shared" si="11"/>
        <v/>
      </c>
      <c r="AS144" s="30"/>
      <c r="AT144" s="30"/>
      <c r="AU144" s="30"/>
      <c r="AV144" s="30"/>
      <c r="AX144" s="114" t="str">
        <f>AJ144&amp;"_"&amp;COUNTIF($AJ$5:AJ144,AJ144)</f>
        <v>-_134</v>
      </c>
    </row>
    <row r="145" spans="1:50">
      <c r="A145" s="112"/>
      <c r="B145" s="44">
        <f>INPUT!F145</f>
        <v>0</v>
      </c>
      <c r="C145" s="50">
        <f>INPUT!C145</f>
        <v>0</v>
      </c>
      <c r="D145" s="50">
        <f>INPUT!D145</f>
        <v>0</v>
      </c>
      <c r="E145" s="51">
        <f>INPUT!E145</f>
        <v>0</v>
      </c>
      <c r="F145" s="39" t="str">
        <f>INPUT!G145</f>
        <v>0011</v>
      </c>
      <c r="G145" s="37" t="str">
        <f>INPUT!I145</f>
        <v>ABS</v>
      </c>
      <c r="H145" s="37" t="str">
        <f>INPUT!K145</f>
        <v>ABS</v>
      </c>
      <c r="I145" s="37" t="str">
        <f>INPUT!M145</f>
        <v>ABS</v>
      </c>
      <c r="J145" s="38" t="str">
        <f>INPUT!L145</f>
        <v>ABS</v>
      </c>
      <c r="K145" s="205" t="str">
        <f>INPUT!N145</f>
        <v>0031</v>
      </c>
      <c r="L145" s="37" t="str">
        <f>INPUT!P145</f>
        <v>ABS</v>
      </c>
      <c r="M145" s="37" t="str">
        <f>INPUT!R145</f>
        <v>ABS</v>
      </c>
      <c r="N145" s="37" t="str">
        <f>INPUT!T145</f>
        <v>ABS</v>
      </c>
      <c r="O145" s="46" t="str">
        <f>INPUT!S145</f>
        <v>ABS</v>
      </c>
      <c r="P145" s="202" t="str">
        <f>INPUT!U145</f>
        <v>0051</v>
      </c>
      <c r="Q145" s="37" t="str">
        <f>INPUT!W145</f>
        <v>ABS</v>
      </c>
      <c r="R145" s="37" t="str">
        <f>INPUT!Y145</f>
        <v>ABS</v>
      </c>
      <c r="S145" s="37" t="str">
        <f>INPUT!AA145</f>
        <v>ABS</v>
      </c>
      <c r="T145" s="38" t="str">
        <f>INPUT!Z145</f>
        <v>ABS</v>
      </c>
      <c r="U145" s="209">
        <f>INPUT!AB145</f>
        <v>0</v>
      </c>
      <c r="V145" s="37" t="str">
        <f>INPUT!AD145</f>
        <v>ABS</v>
      </c>
      <c r="W145" s="37" t="str">
        <f>INPUT!AF145</f>
        <v>ABS</v>
      </c>
      <c r="X145" s="37" t="str">
        <f>INPUT!AH145</f>
        <v>ABS</v>
      </c>
      <c r="Y145" s="46" t="str">
        <f>INPUT!AG145</f>
        <v>ABS</v>
      </c>
      <c r="Z145" s="209">
        <f>INPUT!AI145</f>
        <v>0</v>
      </c>
      <c r="AA145" s="37" t="str">
        <f>INPUT!AK145</f>
        <v>ABS</v>
      </c>
      <c r="AB145" s="37" t="str">
        <f>INPUT!AM145</f>
        <v>ABS</v>
      </c>
      <c r="AC145" s="37" t="str">
        <f>INPUT!AO145</f>
        <v>ABS</v>
      </c>
      <c r="AD145" s="46" t="str">
        <f>INPUT!AN145</f>
        <v>ABS</v>
      </c>
      <c r="AE145" s="204">
        <f>INPUT!AP145</f>
        <v>0</v>
      </c>
      <c r="AF145" s="37" t="str">
        <f>INPUT!AR145</f>
        <v>ABS</v>
      </c>
      <c r="AG145" s="37" t="str">
        <f>INPUT!AT145</f>
        <v>ABS</v>
      </c>
      <c r="AH145" s="37" t="str">
        <f>INPUT!AV145</f>
        <v>ABS</v>
      </c>
      <c r="AI145" s="38" t="str">
        <f>INPUT!AU145</f>
        <v>ABS</v>
      </c>
      <c r="AJ145" s="40" t="str">
        <f t="shared" si="8"/>
        <v>-</v>
      </c>
      <c r="AK145" s="211">
        <f>INPUT!AX145</f>
        <v>0</v>
      </c>
      <c r="AL145" s="37" t="str">
        <f>INPUT!AZ145</f>
        <v>ABS</v>
      </c>
      <c r="AM145" s="37" t="str">
        <f>INPUT!BB145</f>
        <v>ABS</v>
      </c>
      <c r="AN145" s="37" t="str">
        <f>INPUT!BD145</f>
        <v>ABS</v>
      </c>
      <c r="AO145" s="212" t="str">
        <f>INPUT!BC145</f>
        <v>ABS</v>
      </c>
      <c r="AP145" s="41" t="str">
        <f t="shared" si="9"/>
        <v/>
      </c>
      <c r="AQ145" s="41" t="str">
        <f t="shared" si="10"/>
        <v>ABS</v>
      </c>
      <c r="AR145" s="41" t="str">
        <f t="shared" si="11"/>
        <v/>
      </c>
      <c r="AS145" s="30"/>
      <c r="AT145" s="30"/>
      <c r="AU145" s="30"/>
      <c r="AV145" s="30"/>
      <c r="AX145" s="114" t="str">
        <f>AJ145&amp;"_"&amp;COUNTIF($AJ$5:AJ145,AJ145)</f>
        <v>-_135</v>
      </c>
    </row>
    <row r="146" spans="1:50">
      <c r="A146" s="112"/>
      <c r="B146" s="44">
        <f>INPUT!F146</f>
        <v>0</v>
      </c>
      <c r="C146" s="50">
        <f>INPUT!C146</f>
        <v>0</v>
      </c>
      <c r="D146" s="50">
        <f>INPUT!D146</f>
        <v>0</v>
      </c>
      <c r="E146" s="51">
        <f>INPUT!E146</f>
        <v>0</v>
      </c>
      <c r="F146" s="39" t="str">
        <f>INPUT!G146</f>
        <v>0011</v>
      </c>
      <c r="G146" s="37" t="str">
        <f>INPUT!I146</f>
        <v>ABS</v>
      </c>
      <c r="H146" s="37" t="str">
        <f>INPUT!K146</f>
        <v>ABS</v>
      </c>
      <c r="I146" s="37" t="str">
        <f>INPUT!M146</f>
        <v>ABS</v>
      </c>
      <c r="J146" s="38" t="str">
        <f>INPUT!L146</f>
        <v>ABS</v>
      </c>
      <c r="K146" s="205" t="str">
        <f>INPUT!N146</f>
        <v>0031</v>
      </c>
      <c r="L146" s="37" t="str">
        <f>INPUT!P146</f>
        <v>ABS</v>
      </c>
      <c r="M146" s="37" t="str">
        <f>INPUT!R146</f>
        <v>ABS</v>
      </c>
      <c r="N146" s="37" t="str">
        <f>INPUT!T146</f>
        <v>ABS</v>
      </c>
      <c r="O146" s="46" t="str">
        <f>INPUT!S146</f>
        <v>ABS</v>
      </c>
      <c r="P146" s="202" t="str">
        <f>INPUT!U146</f>
        <v>0051</v>
      </c>
      <c r="Q146" s="37" t="str">
        <f>INPUT!W146</f>
        <v>ABS</v>
      </c>
      <c r="R146" s="37" t="str">
        <f>INPUT!Y146</f>
        <v>ABS</v>
      </c>
      <c r="S146" s="37" t="str">
        <f>INPUT!AA146</f>
        <v>ABS</v>
      </c>
      <c r="T146" s="38" t="str">
        <f>INPUT!Z146</f>
        <v>ABS</v>
      </c>
      <c r="U146" s="209">
        <f>INPUT!AB146</f>
        <v>0</v>
      </c>
      <c r="V146" s="37" t="str">
        <f>INPUT!AD146</f>
        <v>ABS</v>
      </c>
      <c r="W146" s="37" t="str">
        <f>INPUT!AF146</f>
        <v>ABS</v>
      </c>
      <c r="X146" s="37" t="str">
        <f>INPUT!AH146</f>
        <v>ABS</v>
      </c>
      <c r="Y146" s="46" t="str">
        <f>INPUT!AG146</f>
        <v>ABS</v>
      </c>
      <c r="Z146" s="209">
        <f>INPUT!AI146</f>
        <v>0</v>
      </c>
      <c r="AA146" s="37" t="str">
        <f>INPUT!AK146</f>
        <v>ABS</v>
      </c>
      <c r="AB146" s="37" t="str">
        <f>INPUT!AM146</f>
        <v>ABS</v>
      </c>
      <c r="AC146" s="37" t="str">
        <f>INPUT!AO146</f>
        <v>ABS</v>
      </c>
      <c r="AD146" s="46" t="str">
        <f>INPUT!AN146</f>
        <v>ABS</v>
      </c>
      <c r="AE146" s="204">
        <f>INPUT!AP146</f>
        <v>0</v>
      </c>
      <c r="AF146" s="37" t="str">
        <f>INPUT!AR146</f>
        <v>ABS</v>
      </c>
      <c r="AG146" s="37" t="str">
        <f>INPUT!AT146</f>
        <v>ABS</v>
      </c>
      <c r="AH146" s="37" t="str">
        <f>INPUT!AV146</f>
        <v>ABS</v>
      </c>
      <c r="AI146" s="38" t="str">
        <f>INPUT!AU146</f>
        <v>ABS</v>
      </c>
      <c r="AJ146" s="40" t="str">
        <f t="shared" si="8"/>
        <v>-</v>
      </c>
      <c r="AK146" s="211">
        <f>INPUT!AX146</f>
        <v>0</v>
      </c>
      <c r="AL146" s="37" t="str">
        <f>INPUT!AZ146</f>
        <v>ABS</v>
      </c>
      <c r="AM146" s="37" t="str">
        <f>INPUT!BB146</f>
        <v>ABS</v>
      </c>
      <c r="AN146" s="37" t="str">
        <f>INPUT!BD146</f>
        <v>ABS</v>
      </c>
      <c r="AO146" s="212" t="str">
        <f>INPUT!BC146</f>
        <v>ABS</v>
      </c>
      <c r="AP146" s="41" t="str">
        <f t="shared" si="9"/>
        <v/>
      </c>
      <c r="AQ146" s="41" t="str">
        <f t="shared" si="10"/>
        <v>ABS</v>
      </c>
      <c r="AR146" s="41" t="str">
        <f t="shared" si="11"/>
        <v/>
      </c>
      <c r="AS146" s="30"/>
      <c r="AT146" s="30"/>
      <c r="AU146" s="30"/>
      <c r="AV146" s="30"/>
      <c r="AX146" s="114" t="str">
        <f>AJ146&amp;"_"&amp;COUNTIF($AJ$5:AJ146,AJ146)</f>
        <v>-_136</v>
      </c>
    </row>
    <row r="147" spans="1:50">
      <c r="A147" s="112"/>
      <c r="B147" s="44">
        <f>INPUT!F147</f>
        <v>0</v>
      </c>
      <c r="C147" s="50">
        <f>INPUT!C147</f>
        <v>0</v>
      </c>
      <c r="D147" s="50">
        <f>INPUT!D147</f>
        <v>0</v>
      </c>
      <c r="E147" s="51">
        <f>INPUT!E147</f>
        <v>0</v>
      </c>
      <c r="F147" s="39" t="str">
        <f>INPUT!G147</f>
        <v>0011</v>
      </c>
      <c r="G147" s="37" t="str">
        <f>INPUT!I147</f>
        <v>ABS</v>
      </c>
      <c r="H147" s="37" t="str">
        <f>INPUT!K147</f>
        <v>ABS</v>
      </c>
      <c r="I147" s="37" t="str">
        <f>INPUT!M147</f>
        <v>ABS</v>
      </c>
      <c r="J147" s="38" t="str">
        <f>INPUT!L147</f>
        <v>ABS</v>
      </c>
      <c r="K147" s="205" t="str">
        <f>INPUT!N147</f>
        <v>0031</v>
      </c>
      <c r="L147" s="37" t="str">
        <f>INPUT!P147</f>
        <v>ABS</v>
      </c>
      <c r="M147" s="37" t="str">
        <f>INPUT!R147</f>
        <v>ABS</v>
      </c>
      <c r="N147" s="37" t="str">
        <f>INPUT!T147</f>
        <v>ABS</v>
      </c>
      <c r="O147" s="46" t="str">
        <f>INPUT!S147</f>
        <v>ABS</v>
      </c>
      <c r="P147" s="202" t="str">
        <f>INPUT!U147</f>
        <v>0051</v>
      </c>
      <c r="Q147" s="37" t="str">
        <f>INPUT!W147</f>
        <v>ABS</v>
      </c>
      <c r="R147" s="37" t="str">
        <f>INPUT!Y147</f>
        <v>ABS</v>
      </c>
      <c r="S147" s="37" t="str">
        <f>INPUT!AA147</f>
        <v>ABS</v>
      </c>
      <c r="T147" s="38" t="str">
        <f>INPUT!Z147</f>
        <v>ABS</v>
      </c>
      <c r="U147" s="209">
        <f>INPUT!AB147</f>
        <v>0</v>
      </c>
      <c r="V147" s="37" t="str">
        <f>INPUT!AD147</f>
        <v>ABS</v>
      </c>
      <c r="W147" s="37" t="str">
        <f>INPUT!AF147</f>
        <v>ABS</v>
      </c>
      <c r="X147" s="37" t="str">
        <f>INPUT!AH147</f>
        <v>ABS</v>
      </c>
      <c r="Y147" s="46" t="str">
        <f>INPUT!AG147</f>
        <v>ABS</v>
      </c>
      <c r="Z147" s="209">
        <f>INPUT!AI147</f>
        <v>0</v>
      </c>
      <c r="AA147" s="37" t="str">
        <f>INPUT!AK147</f>
        <v>ABS</v>
      </c>
      <c r="AB147" s="37" t="str">
        <f>INPUT!AM147</f>
        <v>ABS</v>
      </c>
      <c r="AC147" s="37" t="str">
        <f>INPUT!AO147</f>
        <v>ABS</v>
      </c>
      <c r="AD147" s="46" t="str">
        <f>INPUT!AN147</f>
        <v>ABS</v>
      </c>
      <c r="AE147" s="204">
        <f>INPUT!AP147</f>
        <v>0</v>
      </c>
      <c r="AF147" s="37" t="str">
        <f>INPUT!AR147</f>
        <v>ABS</v>
      </c>
      <c r="AG147" s="37" t="str">
        <f>INPUT!AT147</f>
        <v>ABS</v>
      </c>
      <c r="AH147" s="37" t="str">
        <f>INPUT!AV147</f>
        <v>ABS</v>
      </c>
      <c r="AI147" s="38" t="str">
        <f>INPUT!AU147</f>
        <v>ABS</v>
      </c>
      <c r="AJ147" s="40" t="str">
        <f t="shared" si="8"/>
        <v>-</v>
      </c>
      <c r="AK147" s="211">
        <f>INPUT!AX147</f>
        <v>0</v>
      </c>
      <c r="AL147" s="37" t="str">
        <f>INPUT!AZ147</f>
        <v>ABS</v>
      </c>
      <c r="AM147" s="37" t="str">
        <f>INPUT!BB147</f>
        <v>ABS</v>
      </c>
      <c r="AN147" s="37" t="str">
        <f>INPUT!BD147</f>
        <v>ABS</v>
      </c>
      <c r="AO147" s="212" t="str">
        <f>INPUT!BC147</f>
        <v>ABS</v>
      </c>
      <c r="AP147" s="41" t="str">
        <f t="shared" si="9"/>
        <v/>
      </c>
      <c r="AQ147" s="41" t="str">
        <f t="shared" si="10"/>
        <v>ABS</v>
      </c>
      <c r="AR147" s="41" t="str">
        <f t="shared" si="11"/>
        <v/>
      </c>
      <c r="AS147" s="30"/>
      <c r="AT147" s="30"/>
      <c r="AU147" s="30"/>
      <c r="AV147" s="30"/>
      <c r="AX147" s="114" t="str">
        <f>AJ147&amp;"_"&amp;COUNTIF($AJ$5:AJ147,AJ147)</f>
        <v>-_137</v>
      </c>
    </row>
    <row r="148" spans="1:50">
      <c r="A148" s="112"/>
      <c r="B148" s="44">
        <f>INPUT!F148</f>
        <v>0</v>
      </c>
      <c r="C148" s="50">
        <f>INPUT!C148</f>
        <v>0</v>
      </c>
      <c r="D148" s="50">
        <f>INPUT!D148</f>
        <v>0</v>
      </c>
      <c r="E148" s="51">
        <f>INPUT!E148</f>
        <v>0</v>
      </c>
      <c r="F148" s="39" t="str">
        <f>INPUT!G148</f>
        <v>0011</v>
      </c>
      <c r="G148" s="37" t="str">
        <f>INPUT!I148</f>
        <v>ABS</v>
      </c>
      <c r="H148" s="37" t="str">
        <f>INPUT!K148</f>
        <v>ABS</v>
      </c>
      <c r="I148" s="37" t="str">
        <f>INPUT!M148</f>
        <v>ABS</v>
      </c>
      <c r="J148" s="38" t="str">
        <f>INPUT!L148</f>
        <v>ABS</v>
      </c>
      <c r="K148" s="205" t="str">
        <f>INPUT!N148</f>
        <v>0031</v>
      </c>
      <c r="L148" s="37" t="str">
        <f>INPUT!P148</f>
        <v>ABS</v>
      </c>
      <c r="M148" s="37" t="str">
        <f>INPUT!R148</f>
        <v>ABS</v>
      </c>
      <c r="N148" s="37" t="str">
        <f>INPUT!T148</f>
        <v>ABS</v>
      </c>
      <c r="O148" s="46" t="str">
        <f>INPUT!S148</f>
        <v>ABS</v>
      </c>
      <c r="P148" s="202" t="str">
        <f>INPUT!U148</f>
        <v>0051</v>
      </c>
      <c r="Q148" s="37" t="str">
        <f>INPUT!W148</f>
        <v>ABS</v>
      </c>
      <c r="R148" s="37" t="str">
        <f>INPUT!Y148</f>
        <v>ABS</v>
      </c>
      <c r="S148" s="37" t="str">
        <f>INPUT!AA148</f>
        <v>ABS</v>
      </c>
      <c r="T148" s="38" t="str">
        <f>INPUT!Z148</f>
        <v>ABS</v>
      </c>
      <c r="U148" s="209">
        <f>INPUT!AB148</f>
        <v>0</v>
      </c>
      <c r="V148" s="37" t="str">
        <f>INPUT!AD148</f>
        <v>ABS</v>
      </c>
      <c r="W148" s="37" t="str">
        <f>INPUT!AF148</f>
        <v>ABS</v>
      </c>
      <c r="X148" s="37" t="str">
        <f>INPUT!AH148</f>
        <v>ABS</v>
      </c>
      <c r="Y148" s="46" t="str">
        <f>INPUT!AG148</f>
        <v>ABS</v>
      </c>
      <c r="Z148" s="209">
        <f>INPUT!AI148</f>
        <v>0</v>
      </c>
      <c r="AA148" s="37" t="str">
        <f>INPUT!AK148</f>
        <v>ABS</v>
      </c>
      <c r="AB148" s="37" t="str">
        <f>INPUT!AM148</f>
        <v>ABS</v>
      </c>
      <c r="AC148" s="37" t="str">
        <f>INPUT!AO148</f>
        <v>ABS</v>
      </c>
      <c r="AD148" s="46" t="str">
        <f>INPUT!AN148</f>
        <v>ABS</v>
      </c>
      <c r="AE148" s="204">
        <f>INPUT!AP148</f>
        <v>0</v>
      </c>
      <c r="AF148" s="37" t="str">
        <f>INPUT!AR148</f>
        <v>ABS</v>
      </c>
      <c r="AG148" s="37" t="str">
        <f>INPUT!AT148</f>
        <v>ABS</v>
      </c>
      <c r="AH148" s="37" t="str">
        <f>INPUT!AV148</f>
        <v>ABS</v>
      </c>
      <c r="AI148" s="38" t="str">
        <f>INPUT!AU148</f>
        <v>ABS</v>
      </c>
      <c r="AJ148" s="40" t="str">
        <f t="shared" si="8"/>
        <v>-</v>
      </c>
      <c r="AK148" s="211">
        <f>INPUT!AX148</f>
        <v>0</v>
      </c>
      <c r="AL148" s="37" t="str">
        <f>INPUT!AZ148</f>
        <v>ABS</v>
      </c>
      <c r="AM148" s="37" t="str">
        <f>INPUT!BB148</f>
        <v>ABS</v>
      </c>
      <c r="AN148" s="37" t="str">
        <f>INPUT!BD148</f>
        <v>ABS</v>
      </c>
      <c r="AO148" s="212" t="str">
        <f>INPUT!BC148</f>
        <v>ABS</v>
      </c>
      <c r="AP148" s="41" t="str">
        <f t="shared" si="9"/>
        <v/>
      </c>
      <c r="AQ148" s="41" t="str">
        <f t="shared" si="10"/>
        <v>ABS</v>
      </c>
      <c r="AR148" s="41" t="str">
        <f t="shared" si="11"/>
        <v/>
      </c>
      <c r="AS148" s="30"/>
      <c r="AT148" s="30"/>
      <c r="AU148" s="30"/>
      <c r="AV148" s="30"/>
      <c r="AX148" s="114" t="str">
        <f>AJ148&amp;"_"&amp;COUNTIF($AJ$5:AJ148,AJ148)</f>
        <v>-_138</v>
      </c>
    </row>
    <row r="149" spans="1:50">
      <c r="A149" s="112"/>
      <c r="B149" s="44">
        <f>INPUT!F149</f>
        <v>0</v>
      </c>
      <c r="C149" s="50">
        <f>INPUT!C149</f>
        <v>0</v>
      </c>
      <c r="D149" s="50">
        <f>INPUT!D149</f>
        <v>0</v>
      </c>
      <c r="E149" s="51">
        <f>INPUT!E149</f>
        <v>0</v>
      </c>
      <c r="F149" s="39" t="str">
        <f>INPUT!G149</f>
        <v>0011</v>
      </c>
      <c r="G149" s="37" t="str">
        <f>INPUT!I149</f>
        <v>ABS</v>
      </c>
      <c r="H149" s="37" t="str">
        <f>INPUT!K149</f>
        <v>ABS</v>
      </c>
      <c r="I149" s="37" t="str">
        <f>INPUT!M149</f>
        <v>ABS</v>
      </c>
      <c r="J149" s="38" t="str">
        <f>INPUT!L149</f>
        <v>ABS</v>
      </c>
      <c r="K149" s="205" t="str">
        <f>INPUT!N149</f>
        <v>0031</v>
      </c>
      <c r="L149" s="37" t="str">
        <f>INPUT!P149</f>
        <v>ABS</v>
      </c>
      <c r="M149" s="37" t="str">
        <f>INPUT!R149</f>
        <v>ABS</v>
      </c>
      <c r="N149" s="37" t="str">
        <f>INPUT!T149</f>
        <v>ABS</v>
      </c>
      <c r="O149" s="46" t="str">
        <f>INPUT!S149</f>
        <v>ABS</v>
      </c>
      <c r="P149" s="202" t="str">
        <f>INPUT!U149</f>
        <v>0051</v>
      </c>
      <c r="Q149" s="37" t="str">
        <f>INPUT!W149</f>
        <v>ABS</v>
      </c>
      <c r="R149" s="37" t="str">
        <f>INPUT!Y149</f>
        <v>ABS</v>
      </c>
      <c r="S149" s="37" t="str">
        <f>INPUT!AA149</f>
        <v>ABS</v>
      </c>
      <c r="T149" s="38" t="str">
        <f>INPUT!Z149</f>
        <v>ABS</v>
      </c>
      <c r="U149" s="209">
        <f>INPUT!AB149</f>
        <v>0</v>
      </c>
      <c r="V149" s="37" t="str">
        <f>INPUT!AD149</f>
        <v>ABS</v>
      </c>
      <c r="W149" s="37" t="str">
        <f>INPUT!AF149</f>
        <v>ABS</v>
      </c>
      <c r="X149" s="37" t="str">
        <f>INPUT!AH149</f>
        <v>ABS</v>
      </c>
      <c r="Y149" s="46" t="str">
        <f>INPUT!AG149</f>
        <v>ABS</v>
      </c>
      <c r="Z149" s="209">
        <f>INPUT!AI149</f>
        <v>0</v>
      </c>
      <c r="AA149" s="37" t="str">
        <f>INPUT!AK149</f>
        <v>ABS</v>
      </c>
      <c r="AB149" s="37" t="str">
        <f>INPUT!AM149</f>
        <v>ABS</v>
      </c>
      <c r="AC149" s="37" t="str">
        <f>INPUT!AO149</f>
        <v>ABS</v>
      </c>
      <c r="AD149" s="46" t="str">
        <f>INPUT!AN149</f>
        <v>ABS</v>
      </c>
      <c r="AE149" s="204">
        <f>INPUT!AP149</f>
        <v>0</v>
      </c>
      <c r="AF149" s="37" t="str">
        <f>INPUT!AR149</f>
        <v>ABS</v>
      </c>
      <c r="AG149" s="37" t="str">
        <f>INPUT!AT149</f>
        <v>ABS</v>
      </c>
      <c r="AH149" s="37" t="str">
        <f>INPUT!AV149</f>
        <v>ABS</v>
      </c>
      <c r="AI149" s="38" t="str">
        <f>INPUT!AU149</f>
        <v>ABS</v>
      </c>
      <c r="AJ149" s="40" t="str">
        <f t="shared" si="8"/>
        <v>-</v>
      </c>
      <c r="AK149" s="211">
        <f>INPUT!AX149</f>
        <v>0</v>
      </c>
      <c r="AL149" s="37" t="str">
        <f>INPUT!AZ149</f>
        <v>ABS</v>
      </c>
      <c r="AM149" s="37" t="str">
        <f>INPUT!BB149</f>
        <v>ABS</v>
      </c>
      <c r="AN149" s="37" t="str">
        <f>INPUT!BD149</f>
        <v>ABS</v>
      </c>
      <c r="AO149" s="212" t="str">
        <f>INPUT!BC149</f>
        <v>ABS</v>
      </c>
      <c r="AP149" s="41" t="str">
        <f t="shared" si="9"/>
        <v/>
      </c>
      <c r="AQ149" s="41" t="str">
        <f t="shared" si="10"/>
        <v>ABS</v>
      </c>
      <c r="AR149" s="41" t="str">
        <f t="shared" si="11"/>
        <v/>
      </c>
      <c r="AS149" s="30"/>
      <c r="AT149" s="30"/>
      <c r="AU149" s="30"/>
      <c r="AV149" s="30"/>
      <c r="AX149" s="114" t="str">
        <f>AJ149&amp;"_"&amp;COUNTIF($AJ$5:AJ149,AJ149)</f>
        <v>-_139</v>
      </c>
    </row>
    <row r="150" spans="1:50">
      <c r="A150" s="112"/>
      <c r="B150" s="44">
        <f>INPUT!F150</f>
        <v>0</v>
      </c>
      <c r="C150" s="50">
        <f>INPUT!C150</f>
        <v>0</v>
      </c>
      <c r="D150" s="50">
        <f>INPUT!D150</f>
        <v>0</v>
      </c>
      <c r="E150" s="51">
        <f>INPUT!E150</f>
        <v>0</v>
      </c>
      <c r="F150" s="39" t="str">
        <f>INPUT!G150</f>
        <v>0011</v>
      </c>
      <c r="G150" s="37" t="str">
        <f>INPUT!I150</f>
        <v>ABS</v>
      </c>
      <c r="H150" s="37" t="str">
        <f>INPUT!K150</f>
        <v>ABS</v>
      </c>
      <c r="I150" s="37" t="str">
        <f>INPUT!M150</f>
        <v>ABS</v>
      </c>
      <c r="J150" s="38" t="str">
        <f>INPUT!L150</f>
        <v>ABS</v>
      </c>
      <c r="K150" s="205" t="str">
        <f>INPUT!N150</f>
        <v>0031</v>
      </c>
      <c r="L150" s="37" t="str">
        <f>INPUT!P150</f>
        <v>ABS</v>
      </c>
      <c r="M150" s="37" t="str">
        <f>INPUT!R150</f>
        <v>ABS</v>
      </c>
      <c r="N150" s="37" t="str">
        <f>INPUT!T150</f>
        <v>ABS</v>
      </c>
      <c r="O150" s="46" t="str">
        <f>INPUT!S150</f>
        <v>ABS</v>
      </c>
      <c r="P150" s="202" t="str">
        <f>INPUT!U150</f>
        <v>0051</v>
      </c>
      <c r="Q150" s="37" t="str">
        <f>INPUT!W150</f>
        <v>ABS</v>
      </c>
      <c r="R150" s="37" t="str">
        <f>INPUT!Y150</f>
        <v>ABS</v>
      </c>
      <c r="S150" s="37" t="str">
        <f>INPUT!AA150</f>
        <v>ABS</v>
      </c>
      <c r="T150" s="38" t="str">
        <f>INPUT!Z150</f>
        <v>ABS</v>
      </c>
      <c r="U150" s="209">
        <f>INPUT!AB150</f>
        <v>0</v>
      </c>
      <c r="V150" s="37" t="str">
        <f>INPUT!AD150</f>
        <v>ABS</v>
      </c>
      <c r="W150" s="37" t="str">
        <f>INPUT!AF150</f>
        <v>ABS</v>
      </c>
      <c r="X150" s="37" t="str">
        <f>INPUT!AH150</f>
        <v>ABS</v>
      </c>
      <c r="Y150" s="46" t="str">
        <f>INPUT!AG150</f>
        <v>ABS</v>
      </c>
      <c r="Z150" s="209">
        <f>INPUT!AI150</f>
        <v>0</v>
      </c>
      <c r="AA150" s="37" t="str">
        <f>INPUT!AK150</f>
        <v>ABS</v>
      </c>
      <c r="AB150" s="37" t="str">
        <f>INPUT!AM150</f>
        <v>ABS</v>
      </c>
      <c r="AC150" s="37" t="str">
        <f>INPUT!AO150</f>
        <v>ABS</v>
      </c>
      <c r="AD150" s="46" t="str">
        <f>INPUT!AN150</f>
        <v>ABS</v>
      </c>
      <c r="AE150" s="204">
        <f>INPUT!AP150</f>
        <v>0</v>
      </c>
      <c r="AF150" s="37" t="str">
        <f>INPUT!AR150</f>
        <v>ABS</v>
      </c>
      <c r="AG150" s="37" t="str">
        <f>INPUT!AT150</f>
        <v>ABS</v>
      </c>
      <c r="AH150" s="37" t="str">
        <f>INPUT!AV150</f>
        <v>ABS</v>
      </c>
      <c r="AI150" s="38" t="str">
        <f>INPUT!AU150</f>
        <v>ABS</v>
      </c>
      <c r="AJ150" s="40" t="str">
        <f t="shared" si="8"/>
        <v>-</v>
      </c>
      <c r="AK150" s="211">
        <f>INPUT!AX150</f>
        <v>0</v>
      </c>
      <c r="AL150" s="37" t="str">
        <f>INPUT!AZ150</f>
        <v>ABS</v>
      </c>
      <c r="AM150" s="37" t="str">
        <f>INPUT!BB150</f>
        <v>ABS</v>
      </c>
      <c r="AN150" s="37" t="str">
        <f>INPUT!BD150</f>
        <v>ABS</v>
      </c>
      <c r="AO150" s="212" t="str">
        <f>INPUT!BC150</f>
        <v>ABS</v>
      </c>
      <c r="AP150" s="41" t="str">
        <f t="shared" si="9"/>
        <v/>
      </c>
      <c r="AQ150" s="41" t="str">
        <f t="shared" si="10"/>
        <v>ABS</v>
      </c>
      <c r="AR150" s="41" t="str">
        <f t="shared" si="11"/>
        <v/>
      </c>
      <c r="AS150" s="30"/>
      <c r="AT150" s="30"/>
      <c r="AU150" s="30"/>
      <c r="AV150" s="30"/>
      <c r="AX150" s="114" t="str">
        <f>AJ150&amp;"_"&amp;COUNTIF($AJ$5:AJ150,AJ150)</f>
        <v>-_140</v>
      </c>
    </row>
    <row r="151" spans="1:50">
      <c r="A151" s="112"/>
      <c r="B151" s="44">
        <f>INPUT!F151</f>
        <v>0</v>
      </c>
      <c r="C151" s="50">
        <f>INPUT!C151</f>
        <v>0</v>
      </c>
      <c r="D151" s="50">
        <f>INPUT!D151</f>
        <v>0</v>
      </c>
      <c r="E151" s="51">
        <f>INPUT!E151</f>
        <v>0</v>
      </c>
      <c r="F151" s="39" t="str">
        <f>INPUT!G151</f>
        <v>0011</v>
      </c>
      <c r="G151" s="37" t="str">
        <f>INPUT!I151</f>
        <v>ABS</v>
      </c>
      <c r="H151" s="37" t="str">
        <f>INPUT!K151</f>
        <v>ABS</v>
      </c>
      <c r="I151" s="37" t="str">
        <f>INPUT!M151</f>
        <v>ABS</v>
      </c>
      <c r="J151" s="38" t="str">
        <f>INPUT!L151</f>
        <v>ABS</v>
      </c>
      <c r="K151" s="205" t="str">
        <f>INPUT!N151</f>
        <v>0031</v>
      </c>
      <c r="L151" s="37" t="str">
        <f>INPUT!P151</f>
        <v>ABS</v>
      </c>
      <c r="M151" s="37" t="str">
        <f>INPUT!R151</f>
        <v>ABS</v>
      </c>
      <c r="N151" s="37" t="str">
        <f>INPUT!T151</f>
        <v>ABS</v>
      </c>
      <c r="O151" s="46" t="str">
        <f>INPUT!S151</f>
        <v>ABS</v>
      </c>
      <c r="P151" s="202" t="str">
        <f>INPUT!U151</f>
        <v>0051</v>
      </c>
      <c r="Q151" s="37" t="str">
        <f>INPUT!W151</f>
        <v>ABS</v>
      </c>
      <c r="R151" s="37" t="str">
        <f>INPUT!Y151</f>
        <v>ABS</v>
      </c>
      <c r="S151" s="37" t="str">
        <f>INPUT!AA151</f>
        <v>ABS</v>
      </c>
      <c r="T151" s="38" t="str">
        <f>INPUT!Z151</f>
        <v>ABS</v>
      </c>
      <c r="U151" s="209">
        <f>INPUT!AB151</f>
        <v>0</v>
      </c>
      <c r="V151" s="37" t="str">
        <f>INPUT!AD151</f>
        <v>ABS</v>
      </c>
      <c r="W151" s="37" t="str">
        <f>INPUT!AF151</f>
        <v>ABS</v>
      </c>
      <c r="X151" s="37" t="str">
        <f>INPUT!AH151</f>
        <v>ABS</v>
      </c>
      <c r="Y151" s="46" t="str">
        <f>INPUT!AG151</f>
        <v>ABS</v>
      </c>
      <c r="Z151" s="209">
        <f>INPUT!AI151</f>
        <v>0</v>
      </c>
      <c r="AA151" s="37" t="str">
        <f>INPUT!AK151</f>
        <v>ABS</v>
      </c>
      <c r="AB151" s="37" t="str">
        <f>INPUT!AM151</f>
        <v>ABS</v>
      </c>
      <c r="AC151" s="37" t="str">
        <f>INPUT!AO151</f>
        <v>ABS</v>
      </c>
      <c r="AD151" s="46" t="str">
        <f>INPUT!AN151</f>
        <v>ABS</v>
      </c>
      <c r="AE151" s="204">
        <f>INPUT!AP151</f>
        <v>0</v>
      </c>
      <c r="AF151" s="37" t="str">
        <f>INPUT!AR151</f>
        <v>ABS</v>
      </c>
      <c r="AG151" s="37" t="str">
        <f>INPUT!AT151</f>
        <v>ABS</v>
      </c>
      <c r="AH151" s="37" t="str">
        <f>INPUT!AV151</f>
        <v>ABS</v>
      </c>
      <c r="AI151" s="38" t="str">
        <f>INPUT!AU151</f>
        <v>ABS</v>
      </c>
      <c r="AJ151" s="40" t="str">
        <f t="shared" si="8"/>
        <v>-</v>
      </c>
      <c r="AK151" s="211">
        <f>INPUT!AX151</f>
        <v>0</v>
      </c>
      <c r="AL151" s="37" t="str">
        <f>INPUT!AZ151</f>
        <v>ABS</v>
      </c>
      <c r="AM151" s="37" t="str">
        <f>INPUT!BB151</f>
        <v>ABS</v>
      </c>
      <c r="AN151" s="37" t="str">
        <f>INPUT!BD151</f>
        <v>ABS</v>
      </c>
      <c r="AO151" s="212" t="str">
        <f>INPUT!BC151</f>
        <v>ABS</v>
      </c>
      <c r="AP151" s="41" t="str">
        <f t="shared" si="9"/>
        <v/>
      </c>
      <c r="AQ151" s="41" t="str">
        <f t="shared" si="10"/>
        <v>ABS</v>
      </c>
      <c r="AR151" s="41" t="str">
        <f t="shared" si="11"/>
        <v/>
      </c>
      <c r="AS151" s="30"/>
      <c r="AT151" s="30"/>
      <c r="AU151" s="30"/>
      <c r="AV151" s="30"/>
      <c r="AX151" s="114" t="str">
        <f>AJ151&amp;"_"&amp;COUNTIF($AJ$5:AJ151,AJ151)</f>
        <v>-_141</v>
      </c>
    </row>
    <row r="152" spans="1:50">
      <c r="A152" s="112"/>
      <c r="B152" s="44">
        <f>INPUT!F152</f>
        <v>0</v>
      </c>
      <c r="C152" s="50">
        <f>INPUT!C152</f>
        <v>0</v>
      </c>
      <c r="D152" s="50">
        <f>INPUT!D152</f>
        <v>0</v>
      </c>
      <c r="E152" s="51">
        <f>INPUT!E152</f>
        <v>0</v>
      </c>
      <c r="F152" s="39" t="str">
        <f>INPUT!G152</f>
        <v>0011</v>
      </c>
      <c r="G152" s="37" t="str">
        <f>INPUT!I152</f>
        <v>ABS</v>
      </c>
      <c r="H152" s="37" t="str">
        <f>INPUT!K152</f>
        <v>ABS</v>
      </c>
      <c r="I152" s="37" t="str">
        <f>INPUT!M152</f>
        <v>ABS</v>
      </c>
      <c r="J152" s="38" t="str">
        <f>INPUT!L152</f>
        <v>ABS</v>
      </c>
      <c r="K152" s="205" t="str">
        <f>INPUT!N152</f>
        <v>0031</v>
      </c>
      <c r="L152" s="37" t="str">
        <f>INPUT!P152</f>
        <v>ABS</v>
      </c>
      <c r="M152" s="37" t="str">
        <f>INPUT!R152</f>
        <v>ABS</v>
      </c>
      <c r="N152" s="37" t="str">
        <f>INPUT!T152</f>
        <v>ABS</v>
      </c>
      <c r="O152" s="46" t="str">
        <f>INPUT!S152</f>
        <v>ABS</v>
      </c>
      <c r="P152" s="202" t="str">
        <f>INPUT!U152</f>
        <v>0051</v>
      </c>
      <c r="Q152" s="37" t="str">
        <f>INPUT!W152</f>
        <v>ABS</v>
      </c>
      <c r="R152" s="37" t="str">
        <f>INPUT!Y152</f>
        <v>ABS</v>
      </c>
      <c r="S152" s="37" t="str">
        <f>INPUT!AA152</f>
        <v>ABS</v>
      </c>
      <c r="T152" s="38" t="str">
        <f>INPUT!Z152</f>
        <v>ABS</v>
      </c>
      <c r="U152" s="209">
        <f>INPUT!AB152</f>
        <v>0</v>
      </c>
      <c r="V152" s="37" t="str">
        <f>INPUT!AD152</f>
        <v>ABS</v>
      </c>
      <c r="W152" s="37" t="str">
        <f>INPUT!AF152</f>
        <v>ABS</v>
      </c>
      <c r="X152" s="37" t="str">
        <f>INPUT!AH152</f>
        <v>ABS</v>
      </c>
      <c r="Y152" s="46" t="str">
        <f>INPUT!AG152</f>
        <v>ABS</v>
      </c>
      <c r="Z152" s="209">
        <f>INPUT!AI152</f>
        <v>0</v>
      </c>
      <c r="AA152" s="37" t="str">
        <f>INPUT!AK152</f>
        <v>ABS</v>
      </c>
      <c r="AB152" s="37" t="str">
        <f>INPUT!AM152</f>
        <v>ABS</v>
      </c>
      <c r="AC152" s="37" t="str">
        <f>INPUT!AO152</f>
        <v>ABS</v>
      </c>
      <c r="AD152" s="46" t="str">
        <f>INPUT!AN152</f>
        <v>ABS</v>
      </c>
      <c r="AE152" s="204">
        <f>INPUT!AP152</f>
        <v>0</v>
      </c>
      <c r="AF152" s="37" t="str">
        <f>INPUT!AR152</f>
        <v>ABS</v>
      </c>
      <c r="AG152" s="37" t="str">
        <f>INPUT!AT152</f>
        <v>ABS</v>
      </c>
      <c r="AH152" s="37" t="str">
        <f>INPUT!AV152</f>
        <v>ABS</v>
      </c>
      <c r="AI152" s="38" t="str">
        <f>INPUT!AU152</f>
        <v>ABS</v>
      </c>
      <c r="AJ152" s="40" t="str">
        <f t="shared" si="8"/>
        <v>-</v>
      </c>
      <c r="AK152" s="211">
        <f>INPUT!AX152</f>
        <v>0</v>
      </c>
      <c r="AL152" s="37" t="str">
        <f>INPUT!AZ152</f>
        <v>ABS</v>
      </c>
      <c r="AM152" s="37" t="str">
        <f>INPUT!BB152</f>
        <v>ABS</v>
      </c>
      <c r="AN152" s="37" t="str">
        <f>INPUT!BD152</f>
        <v>ABS</v>
      </c>
      <c r="AO152" s="212" t="str">
        <f>INPUT!BC152</f>
        <v>ABS</v>
      </c>
      <c r="AP152" s="41" t="str">
        <f t="shared" si="9"/>
        <v/>
      </c>
      <c r="AQ152" s="41" t="str">
        <f t="shared" si="10"/>
        <v>ABS</v>
      </c>
      <c r="AR152" s="41" t="str">
        <f t="shared" si="11"/>
        <v/>
      </c>
      <c r="AS152" s="30"/>
      <c r="AT152" s="30"/>
      <c r="AU152" s="30"/>
      <c r="AV152" s="30"/>
      <c r="AX152" s="114" t="str">
        <f>AJ152&amp;"_"&amp;COUNTIF($AJ$5:AJ152,AJ152)</f>
        <v>-_142</v>
      </c>
    </row>
    <row r="153" spans="1:50">
      <c r="A153" s="112"/>
      <c r="B153" s="44">
        <f>INPUT!F153</f>
        <v>0</v>
      </c>
      <c r="C153" s="50">
        <f>INPUT!C153</f>
        <v>0</v>
      </c>
      <c r="D153" s="50">
        <f>INPUT!D153</f>
        <v>0</v>
      </c>
      <c r="E153" s="51">
        <f>INPUT!E153</f>
        <v>0</v>
      </c>
      <c r="F153" s="39" t="str">
        <f>INPUT!G153</f>
        <v>0011</v>
      </c>
      <c r="G153" s="37" t="str">
        <f>INPUT!I153</f>
        <v>ABS</v>
      </c>
      <c r="H153" s="37" t="str">
        <f>INPUT!K153</f>
        <v>ABS</v>
      </c>
      <c r="I153" s="37" t="str">
        <f>INPUT!M153</f>
        <v>ABS</v>
      </c>
      <c r="J153" s="38" t="str">
        <f>INPUT!L153</f>
        <v>ABS</v>
      </c>
      <c r="K153" s="205" t="str">
        <f>INPUT!N153</f>
        <v>0031</v>
      </c>
      <c r="L153" s="37" t="str">
        <f>INPUT!P153</f>
        <v>ABS</v>
      </c>
      <c r="M153" s="37" t="str">
        <f>INPUT!R153</f>
        <v>ABS</v>
      </c>
      <c r="N153" s="37" t="str">
        <f>INPUT!T153</f>
        <v>ABS</v>
      </c>
      <c r="O153" s="46" t="str">
        <f>INPUT!S153</f>
        <v>ABS</v>
      </c>
      <c r="P153" s="202" t="str">
        <f>INPUT!U153</f>
        <v>0051</v>
      </c>
      <c r="Q153" s="37" t="str">
        <f>INPUT!W153</f>
        <v>ABS</v>
      </c>
      <c r="R153" s="37" t="str">
        <f>INPUT!Y153</f>
        <v>ABS</v>
      </c>
      <c r="S153" s="37" t="str">
        <f>INPUT!AA153</f>
        <v>ABS</v>
      </c>
      <c r="T153" s="38" t="str">
        <f>INPUT!Z153</f>
        <v>ABS</v>
      </c>
      <c r="U153" s="209">
        <f>INPUT!AB153</f>
        <v>0</v>
      </c>
      <c r="V153" s="37" t="str">
        <f>INPUT!AD153</f>
        <v>ABS</v>
      </c>
      <c r="W153" s="37" t="str">
        <f>INPUT!AF153</f>
        <v>ABS</v>
      </c>
      <c r="X153" s="37" t="str">
        <f>INPUT!AH153</f>
        <v>ABS</v>
      </c>
      <c r="Y153" s="46" t="str">
        <f>INPUT!AG153</f>
        <v>ABS</v>
      </c>
      <c r="Z153" s="209">
        <f>INPUT!AI153</f>
        <v>0</v>
      </c>
      <c r="AA153" s="37" t="str">
        <f>INPUT!AK153</f>
        <v>ABS</v>
      </c>
      <c r="AB153" s="37" t="str">
        <f>INPUT!AM153</f>
        <v>ABS</v>
      </c>
      <c r="AC153" s="37" t="str">
        <f>INPUT!AO153</f>
        <v>ABS</v>
      </c>
      <c r="AD153" s="46" t="str">
        <f>INPUT!AN153</f>
        <v>ABS</v>
      </c>
      <c r="AE153" s="204">
        <f>INPUT!AP153</f>
        <v>0</v>
      </c>
      <c r="AF153" s="37" t="str">
        <f>INPUT!AR153</f>
        <v>ABS</v>
      </c>
      <c r="AG153" s="37" t="str">
        <f>INPUT!AT153</f>
        <v>ABS</v>
      </c>
      <c r="AH153" s="37" t="str">
        <f>INPUT!AV153</f>
        <v>ABS</v>
      </c>
      <c r="AI153" s="38" t="str">
        <f>INPUT!AU153</f>
        <v>ABS</v>
      </c>
      <c r="AJ153" s="40" t="str">
        <f t="shared" si="8"/>
        <v>-</v>
      </c>
      <c r="AK153" s="211">
        <f>INPUT!AX153</f>
        <v>0</v>
      </c>
      <c r="AL153" s="37" t="str">
        <f>INPUT!AZ153</f>
        <v>ABS</v>
      </c>
      <c r="AM153" s="37" t="str">
        <f>INPUT!BB153</f>
        <v>ABS</v>
      </c>
      <c r="AN153" s="37" t="str">
        <f>INPUT!BD153</f>
        <v>ABS</v>
      </c>
      <c r="AO153" s="212" t="str">
        <f>INPUT!BC153</f>
        <v>ABS</v>
      </c>
      <c r="AP153" s="41" t="str">
        <f t="shared" si="9"/>
        <v/>
      </c>
      <c r="AQ153" s="41" t="str">
        <f t="shared" si="10"/>
        <v>ABS</v>
      </c>
      <c r="AR153" s="41" t="str">
        <f t="shared" si="11"/>
        <v/>
      </c>
      <c r="AS153" s="30"/>
      <c r="AT153" s="30"/>
      <c r="AU153" s="30"/>
      <c r="AV153" s="30"/>
      <c r="AX153" s="114" t="str">
        <f>AJ153&amp;"_"&amp;COUNTIF($AJ$5:AJ153,AJ153)</f>
        <v>-_143</v>
      </c>
    </row>
    <row r="154" spans="1:50" ht="15" thickBot="1">
      <c r="A154" s="112"/>
      <c r="B154" s="52">
        <f>INPUT!F154</f>
        <v>0</v>
      </c>
      <c r="C154" s="53">
        <f>INPUT!C154</f>
        <v>0</v>
      </c>
      <c r="D154" s="53">
        <f>INPUT!D154</f>
        <v>0</v>
      </c>
      <c r="E154" s="54">
        <f>INPUT!E154</f>
        <v>0</v>
      </c>
      <c r="F154" s="55" t="str">
        <f>INPUT!G154</f>
        <v>0011</v>
      </c>
      <c r="G154" s="56" t="str">
        <f>INPUT!I154</f>
        <v>ABS</v>
      </c>
      <c r="H154" s="56" t="str">
        <f>INPUT!K154</f>
        <v>ABS</v>
      </c>
      <c r="I154" s="56" t="str">
        <f>INPUT!M154</f>
        <v>ABS</v>
      </c>
      <c r="J154" s="58" t="str">
        <f>INPUT!L154</f>
        <v>ABS</v>
      </c>
      <c r="K154" s="206" t="str">
        <f>INPUT!N154</f>
        <v>0031</v>
      </c>
      <c r="L154" s="56" t="str">
        <f>INPUT!P154</f>
        <v>ABS</v>
      </c>
      <c r="M154" s="56" t="str">
        <f>INPUT!R154</f>
        <v>ABS</v>
      </c>
      <c r="N154" s="56" t="str">
        <f>INPUT!T154</f>
        <v>ABS</v>
      </c>
      <c r="O154" s="57" t="str">
        <f>INPUT!S154</f>
        <v>ABS</v>
      </c>
      <c r="P154" s="216" t="str">
        <f>INPUT!U154</f>
        <v>0051</v>
      </c>
      <c r="Q154" s="56" t="str">
        <f>INPUT!W154</f>
        <v>ABS</v>
      </c>
      <c r="R154" s="56" t="str">
        <f>INPUT!Y154</f>
        <v>ABS</v>
      </c>
      <c r="S154" s="56" t="str">
        <f>INPUT!AA154</f>
        <v>ABS</v>
      </c>
      <c r="T154" s="58" t="str">
        <f>INPUT!Z154</f>
        <v>ABS</v>
      </c>
      <c r="U154" s="210">
        <f>INPUT!AB154</f>
        <v>0</v>
      </c>
      <c r="V154" s="56" t="str">
        <f>INPUT!AD154</f>
        <v>ABS</v>
      </c>
      <c r="W154" s="56" t="str">
        <f>INPUT!AF154</f>
        <v>ABS</v>
      </c>
      <c r="X154" s="56" t="str">
        <f>INPUT!AH154</f>
        <v>ABS</v>
      </c>
      <c r="Y154" s="57" t="str">
        <f>INPUT!AG154</f>
        <v>ABS</v>
      </c>
      <c r="Z154" s="210">
        <f>INPUT!AI154</f>
        <v>0</v>
      </c>
      <c r="AA154" s="56" t="str">
        <f>INPUT!AK154</f>
        <v>ABS</v>
      </c>
      <c r="AB154" s="56" t="str">
        <f>INPUT!AM154</f>
        <v>ABS</v>
      </c>
      <c r="AC154" s="56" t="str">
        <f>INPUT!AO154</f>
        <v>ABS</v>
      </c>
      <c r="AD154" s="57" t="str">
        <f>INPUT!AN154</f>
        <v>ABS</v>
      </c>
      <c r="AE154" s="207">
        <f>INPUT!AP154</f>
        <v>0</v>
      </c>
      <c r="AF154" s="56" t="str">
        <f>INPUT!AR154</f>
        <v>ABS</v>
      </c>
      <c r="AG154" s="56" t="str">
        <f>INPUT!AT154</f>
        <v>ABS</v>
      </c>
      <c r="AH154" s="56" t="str">
        <f>INPUT!AV154</f>
        <v>ABS</v>
      </c>
      <c r="AI154" s="58" t="str">
        <f>INPUT!AU154</f>
        <v>ABS</v>
      </c>
      <c r="AJ154" s="59" t="str">
        <f t="shared" si="8"/>
        <v>-</v>
      </c>
      <c r="AK154" s="214">
        <f>INPUT!AX154</f>
        <v>0</v>
      </c>
      <c r="AL154" s="56" t="str">
        <f>INPUT!AZ154</f>
        <v>ABS</v>
      </c>
      <c r="AM154" s="56" t="str">
        <f>INPUT!BB154</f>
        <v>ABS</v>
      </c>
      <c r="AN154" s="56" t="str">
        <f>INPUT!BD154</f>
        <v>ABS</v>
      </c>
      <c r="AO154" s="215" t="str">
        <f>INPUT!BC154</f>
        <v>ABS</v>
      </c>
      <c r="AP154" s="41" t="str">
        <f t="shared" si="9"/>
        <v/>
      </c>
      <c r="AQ154" s="41" t="str">
        <f t="shared" si="10"/>
        <v>ABS</v>
      </c>
      <c r="AR154" s="41" t="str">
        <f t="shared" si="11"/>
        <v/>
      </c>
      <c r="AS154" s="30"/>
      <c r="AT154" s="30"/>
      <c r="AU154" s="30"/>
      <c r="AV154" s="30"/>
      <c r="AX154" s="114" t="str">
        <f>AJ154&amp;"_"&amp;COUNTIF($AJ$5:AJ154,AJ154)</f>
        <v>-_144</v>
      </c>
    </row>
    <row r="155" spans="1:50" s="113" customFormat="1" ht="16" thickTop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60">
        <f>COUNTIF(AP5:AP154,"=NG")</f>
        <v>8</v>
      </c>
      <c r="AQ155" s="60">
        <f>COUNTIFS(AQ5:AQ154,"=ABS",B5:B154,"&gt;0")</f>
        <v>1</v>
      </c>
      <c r="AR155" s="60">
        <f>COUNTIF(AR5:AR154,"=W")</f>
        <v>8</v>
      </c>
      <c r="AS155" s="32"/>
      <c r="AT155" s="32"/>
      <c r="AU155" s="32"/>
      <c r="AV155" s="32"/>
    </row>
    <row r="156" spans="1:50" s="113" customFormat="1" ht="15.5">
      <c r="A156" s="31"/>
      <c r="B156" s="61">
        <f>COUNTIF(B5:B154,"&gt;0")</f>
        <v>12</v>
      </c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</row>
    <row r="157" spans="1:50" ht="18.5">
      <c r="AI157" s="33" t="s">
        <v>230</v>
      </c>
      <c r="AJ157" s="62">
        <f>COUNTIF(GPA,"=4")</f>
        <v>0</v>
      </c>
    </row>
    <row r="158" spans="1:50" ht="18.5">
      <c r="AI158" s="33" t="s">
        <v>231</v>
      </c>
      <c r="AJ158" s="62">
        <f>COUNTIFS(GPA,"&gt;=3.6",GPA,"&lt;4")</f>
        <v>1</v>
      </c>
    </row>
    <row r="159" spans="1:50" ht="18.5">
      <c r="AI159" s="33" t="s">
        <v>232</v>
      </c>
      <c r="AJ159" s="62">
        <f>COUNTIFS(GPA,"&gt;=3.2",GPA,"&lt;3.6")</f>
        <v>1</v>
      </c>
    </row>
    <row r="160" spans="1:50" ht="18.5">
      <c r="AI160" s="33" t="s">
        <v>233</v>
      </c>
      <c r="AJ160" s="62">
        <f>COUNTIFS(GPA,"&gt;=2.8",GPA,"&lt;3.2")</f>
        <v>3</v>
      </c>
    </row>
    <row r="161" spans="35:36" ht="18.5">
      <c r="AI161" s="33" t="s">
        <v>234</v>
      </c>
      <c r="AJ161" s="62">
        <f>COUNTIFS(GPA,"&gt;=2.4",GPA,"&lt;2.8")</f>
        <v>1</v>
      </c>
    </row>
    <row r="162" spans="35:36" ht="18.5">
      <c r="AI162" s="33" t="s">
        <v>235</v>
      </c>
      <c r="AJ162" s="62">
        <f>COUNTIFS(GPA,"&gt;=2.0",GPA,"&lt;2.4")</f>
        <v>0</v>
      </c>
    </row>
    <row r="163" spans="35:36" ht="18.5">
      <c r="AI163" s="33" t="s">
        <v>236</v>
      </c>
      <c r="AJ163" s="62">
        <f>COUNTIFS(GPA,"&gt;=1.6",GPA,"&lt;2.0")</f>
        <v>0</v>
      </c>
    </row>
  </sheetData>
  <sheetProtection password="C44B" sheet="1" objects="1" scenarios="1" formatCells="0"/>
  <mergeCells count="54">
    <mergeCell ref="AM3:AM4"/>
    <mergeCell ref="AP2:AP4"/>
    <mergeCell ref="AQ2:AQ4"/>
    <mergeCell ref="AS2:AT4"/>
    <mergeCell ref="AU2:AV4"/>
    <mergeCell ref="AO3:AO4"/>
    <mergeCell ref="AR2:AR4"/>
    <mergeCell ref="O3:O4"/>
    <mergeCell ref="AF3:AF4"/>
    <mergeCell ref="AI3:AI4"/>
    <mergeCell ref="AK3:AK4"/>
    <mergeCell ref="AL3:AL4"/>
    <mergeCell ref="AD3:AD4"/>
    <mergeCell ref="AE3:AE4"/>
    <mergeCell ref="P3:P4"/>
    <mergeCell ref="Q3:Q4"/>
    <mergeCell ref="R3:R4"/>
    <mergeCell ref="N3:N4"/>
    <mergeCell ref="AE2:AI2"/>
    <mergeCell ref="AJ2:AJ4"/>
    <mergeCell ref="AK2:AO2"/>
    <mergeCell ref="F3:F4"/>
    <mergeCell ref="G3:G4"/>
    <mergeCell ref="H3:H4"/>
    <mergeCell ref="J3:J4"/>
    <mergeCell ref="K3:K4"/>
    <mergeCell ref="L3:L4"/>
    <mergeCell ref="M3:M4"/>
    <mergeCell ref="F2:J2"/>
    <mergeCell ref="K2:O2"/>
    <mergeCell ref="P2:T2"/>
    <mergeCell ref="U2:Y2"/>
    <mergeCell ref="Z2:AD2"/>
    <mergeCell ref="B2:B4"/>
    <mergeCell ref="C2:C4"/>
    <mergeCell ref="D2:D4"/>
    <mergeCell ref="E2:E4"/>
    <mergeCell ref="I3:I4"/>
    <mergeCell ref="AW2:AW4"/>
    <mergeCell ref="AX2:AX4"/>
    <mergeCell ref="S3:S4"/>
    <mergeCell ref="X3:X4"/>
    <mergeCell ref="AC3:AC4"/>
    <mergeCell ref="AH3:AH4"/>
    <mergeCell ref="AN3:AN4"/>
    <mergeCell ref="AG3:AG4"/>
    <mergeCell ref="T3:T4"/>
    <mergeCell ref="U3:U4"/>
    <mergeCell ref="V3:V4"/>
    <mergeCell ref="W3:W4"/>
    <mergeCell ref="Y3:Y4"/>
    <mergeCell ref="Z3:Z4"/>
    <mergeCell ref="AA3:AA4"/>
    <mergeCell ref="AB3:AB4"/>
  </mergeCells>
  <pageMargins left="0.7" right="0.7" top="0.75" bottom="0.75" header="0.3" footer="0.3"/>
  <pageSetup paperSize="9" orientation="portrait" r:id="rId1"/>
  <ignoredErrors>
    <ignoredError sqref="C5:E154 F5:F154 K5:K154 P5:P154 Z5:Z154 AE5:AH154 AK5:AN13 B5:B154 AK15:AN154 AK14:AL14 AM14:AN14 U6:U26 L6:N154 G32:I154 H31 Q6:S154 V6:X154 U27:U154 AA6:AC154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rgb="FF7030A0"/>
  </sheetPr>
  <dimension ref="B1:P44"/>
  <sheetViews>
    <sheetView showGridLines="0" view="pageBreakPreview" topLeftCell="A16" zoomScale="105" zoomScaleNormal="92" zoomScaleSheetLayoutView="105" zoomScalePageLayoutView="69" workbookViewId="0">
      <selection activeCell="H14" sqref="H14"/>
    </sheetView>
  </sheetViews>
  <sheetFormatPr defaultColWidth="8.90625" defaultRowHeight="14.5"/>
  <cols>
    <col min="1" max="1" width="1" style="64" customWidth="1"/>
    <col min="2" max="2" width="1.36328125" style="64" customWidth="1"/>
    <col min="3" max="3" width="11.54296875" style="64" customWidth="1"/>
    <col min="4" max="4" width="11.6328125" style="64" customWidth="1"/>
    <col min="5" max="5" width="22.08984375" style="64" customWidth="1"/>
    <col min="6" max="6" width="10.54296875" style="64" customWidth="1"/>
    <col min="7" max="7" width="10.90625" style="64" customWidth="1"/>
    <col min="8" max="8" width="13.1796875" style="64" customWidth="1"/>
    <col min="9" max="9" width="10.453125" style="64" customWidth="1"/>
    <col min="10" max="10" width="9.36328125" style="64" customWidth="1"/>
    <col min="11" max="11" width="1.6328125" style="64" customWidth="1"/>
    <col min="12" max="12" width="0.90625" style="64" customWidth="1"/>
    <col min="13" max="14" width="8.90625" style="64"/>
    <col min="15" max="15" width="9.54296875" style="64" bestFit="1" customWidth="1"/>
    <col min="16" max="16384" width="8.90625" style="64"/>
  </cols>
  <sheetData>
    <row r="1" spans="2:15" ht="4.75" customHeight="1" thickBot="1">
      <c r="B1" s="85"/>
      <c r="C1" s="85"/>
      <c r="D1" s="85"/>
      <c r="E1" s="85"/>
      <c r="F1" s="85"/>
      <c r="G1" s="85"/>
      <c r="H1" s="85"/>
      <c r="I1" s="85"/>
      <c r="J1" s="85"/>
      <c r="K1" s="85"/>
      <c r="L1" s="63"/>
    </row>
    <row r="2" spans="2:15" ht="10.75" customHeight="1" thickTop="1">
      <c r="B2" s="66"/>
      <c r="C2" s="67"/>
      <c r="D2" s="67"/>
      <c r="E2" s="67"/>
      <c r="F2" s="67"/>
      <c r="G2" s="67"/>
      <c r="H2" s="67"/>
      <c r="I2" s="67"/>
      <c r="J2" s="67"/>
      <c r="K2" s="68"/>
      <c r="L2" s="63"/>
    </row>
    <row r="3" spans="2:15" ht="19.25" customHeight="1">
      <c r="B3" s="69"/>
      <c r="C3" s="273"/>
      <c r="D3" s="274"/>
      <c r="E3" s="274"/>
      <c r="F3" s="274"/>
      <c r="G3" s="274"/>
      <c r="H3" s="274"/>
      <c r="I3" s="274"/>
      <c r="J3" s="275"/>
      <c r="K3" s="70"/>
      <c r="L3" s="63"/>
    </row>
    <row r="4" spans="2:15" ht="13.25" customHeight="1">
      <c r="B4" s="69"/>
      <c r="C4" s="276"/>
      <c r="D4" s="277"/>
      <c r="E4" s="277"/>
      <c r="F4" s="277"/>
      <c r="G4" s="277"/>
      <c r="H4" s="277"/>
      <c r="I4" s="277"/>
      <c r="J4" s="278"/>
      <c r="K4" s="70"/>
      <c r="L4" s="63"/>
    </row>
    <row r="5" spans="2:15" ht="23" customHeight="1">
      <c r="B5" s="69"/>
      <c r="C5" s="276"/>
      <c r="D5" s="277"/>
      <c r="E5" s="277"/>
      <c r="F5" s="277"/>
      <c r="G5" s="277"/>
      <c r="H5" s="277"/>
      <c r="I5" s="277"/>
      <c r="J5" s="278"/>
      <c r="K5" s="70"/>
      <c r="L5" s="63"/>
    </row>
    <row r="6" spans="2:15" ht="18.649999999999999" customHeight="1">
      <c r="B6" s="69"/>
      <c r="C6" s="276"/>
      <c r="D6" s="277"/>
      <c r="E6" s="277"/>
      <c r="F6" s="277"/>
      <c r="G6" s="277"/>
      <c r="H6" s="277"/>
      <c r="I6" s="277"/>
      <c r="J6" s="278"/>
      <c r="K6" s="70"/>
      <c r="L6" s="63"/>
    </row>
    <row r="7" spans="2:15" ht="9.65" customHeight="1">
      <c r="B7" s="69"/>
      <c r="C7" s="279"/>
      <c r="D7" s="280"/>
      <c r="E7" s="280"/>
      <c r="F7" s="280"/>
      <c r="G7" s="280"/>
      <c r="H7" s="280"/>
      <c r="I7" s="280"/>
      <c r="J7" s="281"/>
      <c r="K7" s="70"/>
      <c r="L7" s="63"/>
    </row>
    <row r="8" spans="2:15" ht="18.649999999999999" customHeight="1">
      <c r="B8" s="69"/>
      <c r="C8" s="71"/>
      <c r="D8" s="71"/>
      <c r="E8" s="71"/>
      <c r="F8" s="71"/>
      <c r="G8" s="71"/>
      <c r="H8" s="71"/>
      <c r="I8" s="71"/>
      <c r="J8" s="71"/>
      <c r="K8" s="70"/>
      <c r="L8" s="63"/>
    </row>
    <row r="9" spans="2:15">
      <c r="B9" s="69"/>
      <c r="C9" s="71"/>
      <c r="D9" s="71"/>
      <c r="E9" s="71"/>
      <c r="F9" s="71"/>
      <c r="G9" s="71"/>
      <c r="H9" s="71"/>
      <c r="I9" s="71"/>
      <c r="J9" s="71"/>
      <c r="K9" s="70"/>
      <c r="L9" s="63"/>
    </row>
    <row r="10" spans="2:15" ht="13.25" customHeight="1">
      <c r="B10" s="69"/>
      <c r="C10" s="71"/>
      <c r="D10" s="71"/>
      <c r="E10" s="71"/>
      <c r="F10" s="71"/>
      <c r="G10" s="71"/>
      <c r="H10" s="71"/>
      <c r="I10" s="71"/>
      <c r="J10" s="71"/>
      <c r="K10" s="70"/>
      <c r="L10" s="63"/>
    </row>
    <row r="11" spans="2:15" ht="16.75" customHeight="1">
      <c r="B11" s="69"/>
      <c r="C11" s="71"/>
      <c r="D11" s="71"/>
      <c r="E11" s="71"/>
      <c r="F11" s="71"/>
      <c r="G11" s="71"/>
      <c r="H11" s="71"/>
      <c r="I11" s="71"/>
      <c r="J11" s="71"/>
      <c r="K11" s="70"/>
      <c r="L11" s="63"/>
    </row>
    <row r="12" spans="2:15" ht="17.399999999999999" customHeight="1">
      <c r="B12" s="69"/>
      <c r="C12" s="283" t="s">
        <v>237</v>
      </c>
      <c r="D12" s="283"/>
      <c r="E12" s="283"/>
      <c r="F12" s="310" t="str">
        <f>IFERROR(VLOOKUP(H14,ledger,2,0),"This Symbol No. is not in Grade Ledger")</f>
        <v>dipika</v>
      </c>
      <c r="G12" s="310"/>
      <c r="H12" s="310"/>
      <c r="I12" s="310"/>
      <c r="J12" s="310"/>
      <c r="K12" s="6"/>
      <c r="L12" s="63"/>
      <c r="N12" s="72"/>
    </row>
    <row r="13" spans="2:15" ht="18.5">
      <c r="B13" s="69"/>
      <c r="C13" s="160" t="s">
        <v>12</v>
      </c>
      <c r="D13" s="160"/>
      <c r="E13" s="165">
        <f>VLOOKUP(H14,ledger,3,0)</f>
        <v>58025</v>
      </c>
      <c r="F13" s="185" t="s">
        <v>13</v>
      </c>
      <c r="G13" s="186" t="s">
        <v>49</v>
      </c>
      <c r="H13" s="309" t="str">
        <f>[1]!DateBStoAD(E13)</f>
        <v>2/23/2002</v>
      </c>
      <c r="I13" s="309"/>
      <c r="J13" s="161" t="s">
        <v>20</v>
      </c>
      <c r="K13" s="6"/>
      <c r="L13" s="63"/>
    </row>
    <row r="14" spans="2:15" ht="18.5">
      <c r="B14" s="69"/>
      <c r="C14" s="283" t="s">
        <v>8</v>
      </c>
      <c r="D14" s="283"/>
      <c r="E14" s="164">
        <f>VLOOKUP(H14,ledger,4,0)</f>
        <v>781130010003</v>
      </c>
      <c r="F14" s="282" t="s">
        <v>14</v>
      </c>
      <c r="G14" s="282"/>
      <c r="H14" s="163">
        <v>11300003</v>
      </c>
      <c r="I14" s="162" t="s">
        <v>22</v>
      </c>
      <c r="J14" s="166" t="s">
        <v>15</v>
      </c>
      <c r="K14" s="6"/>
      <c r="L14" s="63"/>
    </row>
    <row r="15" spans="2:15" ht="18.5">
      <c r="B15" s="69"/>
      <c r="C15" s="283" t="s">
        <v>26</v>
      </c>
      <c r="D15" s="283"/>
      <c r="E15" s="283"/>
      <c r="F15" s="282" t="s">
        <v>245</v>
      </c>
      <c r="G15" s="282"/>
      <c r="H15" s="283" t="s">
        <v>27</v>
      </c>
      <c r="I15" s="283"/>
      <c r="J15" s="283"/>
      <c r="K15" s="6"/>
      <c r="L15" s="63"/>
      <c r="O15" s="73"/>
    </row>
    <row r="16" spans="2:15" ht="19.75" customHeight="1" thickBot="1">
      <c r="B16" s="69"/>
      <c r="C16" s="74"/>
      <c r="D16" s="75"/>
      <c r="E16" s="75"/>
      <c r="F16" s="75"/>
      <c r="G16" s="75"/>
      <c r="H16" s="75"/>
      <c r="I16" s="75"/>
      <c r="J16" s="76"/>
      <c r="K16" s="77"/>
      <c r="L16" s="63"/>
      <c r="O16" s="73"/>
    </row>
    <row r="17" spans="2:16" ht="27" customHeight="1" thickTop="1">
      <c r="B17" s="69"/>
      <c r="C17" s="313" t="s">
        <v>16</v>
      </c>
      <c r="D17" s="315" t="s">
        <v>9</v>
      </c>
      <c r="E17" s="316"/>
      <c r="F17" s="319" t="s">
        <v>238</v>
      </c>
      <c r="G17" s="319" t="s">
        <v>21</v>
      </c>
      <c r="H17" s="319" t="s">
        <v>22</v>
      </c>
      <c r="I17" s="322" t="s">
        <v>28</v>
      </c>
      <c r="J17" s="284" t="s">
        <v>10</v>
      </c>
      <c r="K17" s="7"/>
      <c r="L17" s="63"/>
      <c r="O17" s="73"/>
    </row>
    <row r="18" spans="2:16" ht="18.5">
      <c r="B18" s="69"/>
      <c r="C18" s="314"/>
      <c r="D18" s="317"/>
      <c r="E18" s="318"/>
      <c r="F18" s="320"/>
      <c r="G18" s="321"/>
      <c r="H18" s="321"/>
      <c r="I18" s="323"/>
      <c r="J18" s="285"/>
      <c r="K18" s="7"/>
      <c r="L18" s="63"/>
    </row>
    <row r="19" spans="2:16" ht="18" customHeight="1">
      <c r="B19" s="69"/>
      <c r="C19" s="167" t="str">
        <f>VLOOKUP(H14,ledger,5,0)</f>
        <v>0011</v>
      </c>
      <c r="D19" s="311" t="s">
        <v>269</v>
      </c>
      <c r="E19" s="312"/>
      <c r="F19" s="155">
        <v>2.25</v>
      </c>
      <c r="G19" s="156" t="str">
        <f>VLOOKUP(H14,ledger,6,0)</f>
        <v>2.8</v>
      </c>
      <c r="H19" s="157" t="str">
        <f>IF(G19="4.0","A+",IF(G19="3.6","A",IF(G19="3.2","B+",IF(G19="2.8","B",IF(G19="2.4","C+",IF(G19="2.0","C",IF(G19="1.6","D",IF(G19="-","NG","ABS"))))))))</f>
        <v>B</v>
      </c>
      <c r="I19" s="308" t="str">
        <f>VLOOKUP(H14,ledger,8,0)</f>
        <v>B+</v>
      </c>
      <c r="J19" s="168"/>
      <c r="K19" s="8"/>
      <c r="L19" s="63"/>
    </row>
    <row r="20" spans="2:16" ht="15.65" customHeight="1">
      <c r="B20" s="69"/>
      <c r="C20" s="220" t="s">
        <v>270</v>
      </c>
      <c r="D20" s="289" t="s">
        <v>271</v>
      </c>
      <c r="E20" s="290"/>
      <c r="F20" s="158">
        <v>0.75</v>
      </c>
      <c r="G20" s="201" t="str">
        <f>VLOOKUP(H14,ledger,7,0)</f>
        <v>3.6</v>
      </c>
      <c r="H20" s="157" t="str">
        <f t="shared" ref="H20:H30" si="0">IF(G20="4.0","A+",IF(G20="3.6","A",IF(G20="3.2","B+",IF(G20="2.8","B",IF(G20="2.4","C+",IF(G20="2.0","C",IF(G20="1.6","D",IF(G20="-","NG","ABS"))))))))</f>
        <v>A</v>
      </c>
      <c r="I20" s="297"/>
      <c r="J20" s="169"/>
      <c r="K20" s="8"/>
      <c r="L20" s="63"/>
    </row>
    <row r="21" spans="2:16" ht="15.65" customHeight="1">
      <c r="B21" s="69"/>
      <c r="C21" s="220" t="s">
        <v>272</v>
      </c>
      <c r="D21" s="289" t="s">
        <v>277</v>
      </c>
      <c r="E21" s="290"/>
      <c r="F21" s="158">
        <v>3</v>
      </c>
      <c r="G21" s="159" t="str">
        <f>VLOOKUP(H14,ledger,11,0)</f>
        <v>2.8</v>
      </c>
      <c r="H21" s="157" t="str">
        <f t="shared" si="0"/>
        <v>B</v>
      </c>
      <c r="I21" s="297" t="str">
        <f>VLOOKUP(H14,ledger,13,0)</f>
        <v>B+</v>
      </c>
      <c r="J21" s="169"/>
      <c r="K21" s="8"/>
      <c r="L21" s="63"/>
    </row>
    <row r="22" spans="2:16" ht="15.65" customHeight="1">
      <c r="B22" s="69"/>
      <c r="C22" s="220" t="s">
        <v>273</v>
      </c>
      <c r="D22" s="289" t="s">
        <v>276</v>
      </c>
      <c r="E22" s="290"/>
      <c r="F22" s="158">
        <v>1</v>
      </c>
      <c r="G22" s="159" t="str">
        <f>VLOOKUP(H14,ledger,12,0)</f>
        <v>3.6</v>
      </c>
      <c r="H22" s="157" t="str">
        <f t="shared" si="0"/>
        <v>A</v>
      </c>
      <c r="I22" s="297"/>
      <c r="J22" s="169"/>
      <c r="K22" s="8"/>
      <c r="L22" s="63"/>
      <c r="N22" s="78"/>
    </row>
    <row r="23" spans="2:16" ht="17.5" customHeight="1">
      <c r="B23" s="69"/>
      <c r="C23" s="220" t="s">
        <v>274</v>
      </c>
      <c r="D23" s="289" t="s">
        <v>281</v>
      </c>
      <c r="E23" s="290"/>
      <c r="F23" s="158">
        <v>3.75</v>
      </c>
      <c r="G23" s="159" t="str">
        <f>VLOOKUP(H14,ledger,16,0)</f>
        <v>3.2</v>
      </c>
      <c r="H23" s="157" t="str">
        <f t="shared" si="0"/>
        <v>B+</v>
      </c>
      <c r="I23" s="297" t="str">
        <f>VLOOKUP(H14,ledger,18,0)</f>
        <v>A</v>
      </c>
      <c r="J23" s="218" t="str">
        <f>IF(OR($I$19="NG",$I$21="NG",$I$23="NG",$I$25="NG",$I$27="NG",$I$29="NG"),"W","")</f>
        <v/>
      </c>
      <c r="K23" s="8"/>
      <c r="L23" s="63"/>
    </row>
    <row r="24" spans="2:16" ht="15" customHeight="1">
      <c r="B24" s="69"/>
      <c r="C24" s="220" t="s">
        <v>275</v>
      </c>
      <c r="D24" s="289" t="s">
        <v>280</v>
      </c>
      <c r="E24" s="290"/>
      <c r="F24" s="158">
        <v>1.25</v>
      </c>
      <c r="G24" s="159" t="str">
        <f>VLOOKUP(H14,ledger,17,0)</f>
        <v>3.6</v>
      </c>
      <c r="H24" s="157" t="str">
        <f t="shared" si="0"/>
        <v>A</v>
      </c>
      <c r="I24" s="297"/>
      <c r="J24" s="219" t="str">
        <f>IF(OR($I$19="ABS",$I$21="ABS",$I$23="ABS",$I$25="ABS",$I$27="ABS",$I$29="ABS"),"ABS","")</f>
        <v/>
      </c>
      <c r="K24" s="8"/>
      <c r="L24" s="63"/>
    </row>
    <row r="25" spans="2:16" ht="16.5" customHeight="1">
      <c r="B25" s="69"/>
      <c r="C25" s="170">
        <v>1041</v>
      </c>
      <c r="D25" s="304" t="s">
        <v>264</v>
      </c>
      <c r="E25" s="305"/>
      <c r="F25" s="158">
        <v>3.75</v>
      </c>
      <c r="G25" s="159" t="str">
        <f>VLOOKUP(H14,ledger,21,0)</f>
        <v>2.4</v>
      </c>
      <c r="H25" s="157" t="str">
        <f t="shared" si="0"/>
        <v>C+</v>
      </c>
      <c r="I25" s="297" t="str">
        <f>VLOOKUP(H14,ledger,23,0)</f>
        <v>B</v>
      </c>
      <c r="J25" s="169"/>
      <c r="K25" s="8"/>
      <c r="L25" s="63"/>
    </row>
    <row r="26" spans="2:16" ht="15.5" customHeight="1">
      <c r="B26" s="69"/>
      <c r="C26" s="176">
        <v>1042</v>
      </c>
      <c r="D26" s="304" t="s">
        <v>265</v>
      </c>
      <c r="E26" s="305"/>
      <c r="F26" s="158">
        <v>1.25</v>
      </c>
      <c r="G26" s="159" t="str">
        <f>VLOOKUP(H14,ledger,22,0)</f>
        <v>3.6</v>
      </c>
      <c r="H26" s="157" t="str">
        <f t="shared" si="0"/>
        <v>A</v>
      </c>
      <c r="I26" s="297"/>
      <c r="J26" s="169"/>
      <c r="K26" s="8"/>
      <c r="L26" s="63"/>
    </row>
    <row r="27" spans="2:16" ht="16.5" customHeight="1">
      <c r="B27" s="69"/>
      <c r="C27" s="176">
        <v>3041</v>
      </c>
      <c r="D27" s="289" t="s">
        <v>266</v>
      </c>
      <c r="E27" s="290"/>
      <c r="F27" s="158">
        <v>3.75</v>
      </c>
      <c r="G27" s="159" t="str">
        <f>VLOOKUP(H14,ledger,26,0)</f>
        <v>3.6</v>
      </c>
      <c r="H27" s="157" t="str">
        <f t="shared" si="0"/>
        <v>A</v>
      </c>
      <c r="I27" s="297" t="str">
        <f>VLOOKUP(H14,ledger,28,0)</f>
        <v>A</v>
      </c>
      <c r="J27" s="169"/>
      <c r="K27" s="8"/>
      <c r="L27" s="63"/>
    </row>
    <row r="28" spans="2:16" ht="16" customHeight="1">
      <c r="B28" s="69"/>
      <c r="C28" s="176">
        <v>3042</v>
      </c>
      <c r="D28" s="289" t="s">
        <v>267</v>
      </c>
      <c r="E28" s="290"/>
      <c r="F28" s="158">
        <v>1.25</v>
      </c>
      <c r="G28" s="159" t="str">
        <f>VLOOKUP(H14,ledger,27,0)</f>
        <v>3.6</v>
      </c>
      <c r="H28" s="157" t="str">
        <f t="shared" si="0"/>
        <v>A</v>
      </c>
      <c r="I28" s="297"/>
      <c r="J28" s="169"/>
      <c r="K28" s="8"/>
      <c r="L28" s="63"/>
    </row>
    <row r="29" spans="2:16" ht="15.5" customHeight="1">
      <c r="B29" s="69"/>
      <c r="C29" s="176">
        <v>4281</v>
      </c>
      <c r="D29" s="289" t="s">
        <v>278</v>
      </c>
      <c r="E29" s="290"/>
      <c r="F29" s="158">
        <v>2.5</v>
      </c>
      <c r="G29" s="159" t="str">
        <f>VLOOKUP(H14,ledger,31,0)</f>
        <v>4.0</v>
      </c>
      <c r="H29" s="157" t="str">
        <f t="shared" si="0"/>
        <v>A+</v>
      </c>
      <c r="I29" s="297" t="str">
        <f>VLOOKUP(H14,ledger,33,0)</f>
        <v>A</v>
      </c>
      <c r="J29" s="169"/>
      <c r="K29" s="8"/>
      <c r="L29" s="63"/>
    </row>
    <row r="30" spans="2:16" ht="16" customHeight="1">
      <c r="B30" s="69"/>
      <c r="C30" s="177">
        <v>4282</v>
      </c>
      <c r="D30" s="289" t="s">
        <v>279</v>
      </c>
      <c r="E30" s="290"/>
      <c r="F30" s="158">
        <v>2.5</v>
      </c>
      <c r="G30" s="159" t="str">
        <f>VLOOKUP(H14,ledger,32,0)</f>
        <v>2.0</v>
      </c>
      <c r="H30" s="157" t="str">
        <f t="shared" si="0"/>
        <v>C</v>
      </c>
      <c r="I30" s="297"/>
      <c r="J30" s="169"/>
      <c r="K30" s="8"/>
      <c r="L30" s="63"/>
      <c r="M30" s="79"/>
      <c r="N30" s="63"/>
      <c r="O30" s="63"/>
      <c r="P30" s="80"/>
    </row>
    <row r="31" spans="2:16" ht="23.5" customHeight="1" thickBot="1">
      <c r="B31" s="69"/>
      <c r="C31" s="295" t="s">
        <v>239</v>
      </c>
      <c r="D31" s="296"/>
      <c r="E31" s="296"/>
      <c r="F31" s="296"/>
      <c r="G31" s="296"/>
      <c r="H31" s="296"/>
      <c r="I31" s="184">
        <f>VLOOKUP(H14,ledger,35,0)</f>
        <v>3.2037037037037037</v>
      </c>
      <c r="J31" s="171"/>
      <c r="K31" s="7"/>
      <c r="L31" s="63"/>
      <c r="M31" s="79"/>
      <c r="N31" s="63"/>
      <c r="O31" s="63"/>
      <c r="P31" s="80"/>
    </row>
    <row r="32" spans="2:16" ht="19" thickBot="1">
      <c r="B32" s="69"/>
      <c r="C32" s="301" t="s">
        <v>42</v>
      </c>
      <c r="D32" s="302"/>
      <c r="E32" s="302"/>
      <c r="F32" s="302"/>
      <c r="G32" s="302"/>
      <c r="H32" s="302"/>
      <c r="I32" s="302"/>
      <c r="J32" s="303"/>
      <c r="K32" s="9"/>
      <c r="L32" s="63"/>
      <c r="M32" s="79"/>
      <c r="N32" s="132"/>
      <c r="O32" s="63"/>
      <c r="P32" s="81"/>
    </row>
    <row r="33" spans="2:16" ht="16" customHeight="1">
      <c r="B33" s="69"/>
      <c r="C33" s="178"/>
      <c r="D33" s="291"/>
      <c r="E33" s="292"/>
      <c r="F33" s="180"/>
      <c r="G33" s="172"/>
      <c r="H33" s="173" t="str">
        <f t="shared" ref="H33:H34" si="1">IF(G33="4.0","A+",IF(G33="3.6","A",IF(G33="3.2","B+",IF(G33="2.8","B",IF(G33="2.4","C+",IF(G33="2.0","C",IF(G33="1.6","D",IF(G33="-","NG","ABS"))))))))</f>
        <v>ABS</v>
      </c>
      <c r="I33" s="293"/>
      <c r="J33" s="181"/>
      <c r="K33" s="9"/>
      <c r="L33" s="63"/>
      <c r="M33" s="79"/>
      <c r="N33" s="63"/>
      <c r="O33" s="63"/>
      <c r="P33" s="81"/>
    </row>
    <row r="34" spans="2:16" ht="16.5" customHeight="1" thickBot="1">
      <c r="B34" s="69"/>
      <c r="C34" s="179"/>
      <c r="D34" s="286"/>
      <c r="E34" s="287"/>
      <c r="F34" s="182"/>
      <c r="G34" s="174"/>
      <c r="H34" s="175" t="str">
        <f t="shared" si="1"/>
        <v>ABS</v>
      </c>
      <c r="I34" s="294"/>
      <c r="J34" s="183"/>
      <c r="K34" s="10"/>
      <c r="L34" s="63"/>
      <c r="M34" s="79"/>
      <c r="N34" s="63"/>
      <c r="O34" s="63"/>
      <c r="P34" s="81"/>
    </row>
    <row r="35" spans="2:16" ht="17.5" customHeight="1" thickTop="1">
      <c r="B35" s="69"/>
      <c r="C35" s="307" t="s">
        <v>47</v>
      </c>
      <c r="D35" s="307"/>
      <c r="E35" s="307"/>
      <c r="F35" s="5"/>
      <c r="G35" s="4"/>
      <c r="H35" s="11"/>
      <c r="I35" s="11"/>
      <c r="J35" s="4"/>
      <c r="K35" s="10"/>
      <c r="L35" s="63"/>
      <c r="M35" s="63"/>
      <c r="N35" s="79"/>
      <c r="O35" s="79"/>
      <c r="P35" s="81"/>
    </row>
    <row r="36" spans="2:16" ht="20.399999999999999" customHeight="1" thickBot="1">
      <c r="B36" s="69"/>
      <c r="C36" s="288" t="s">
        <v>48</v>
      </c>
      <c r="D36" s="288"/>
      <c r="E36" s="288"/>
      <c r="F36" s="5"/>
      <c r="G36" s="4"/>
      <c r="H36" s="17"/>
      <c r="I36" s="17"/>
      <c r="J36" s="18"/>
      <c r="K36" s="10"/>
      <c r="L36" s="63"/>
      <c r="M36" s="63"/>
      <c r="N36" s="79"/>
      <c r="O36" s="79"/>
      <c r="P36" s="81"/>
    </row>
    <row r="37" spans="2:16" ht="17.399999999999999" customHeight="1">
      <c r="B37" s="69"/>
      <c r="C37" s="288" t="s">
        <v>18</v>
      </c>
      <c r="D37" s="288"/>
      <c r="E37" s="82" t="s">
        <v>246</v>
      </c>
      <c r="F37" s="71"/>
      <c r="G37" s="71"/>
      <c r="H37" s="306" t="s">
        <v>221</v>
      </c>
      <c r="I37" s="306"/>
      <c r="J37" s="306"/>
      <c r="K37" s="70"/>
      <c r="L37" s="63"/>
    </row>
    <row r="38" spans="2:16" ht="14.4" customHeight="1" thickBot="1">
      <c r="B38" s="83"/>
      <c r="C38" s="84"/>
      <c r="D38" s="85"/>
      <c r="E38" s="85"/>
      <c r="F38" s="85"/>
      <c r="G38" s="85"/>
      <c r="H38" s="85"/>
      <c r="I38" s="86"/>
      <c r="J38" s="71"/>
      <c r="K38" s="70"/>
      <c r="L38" s="63"/>
    </row>
    <row r="39" spans="2:16" ht="21.65" customHeight="1" thickTop="1">
      <c r="B39" s="69"/>
      <c r="C39" s="300" t="s">
        <v>222</v>
      </c>
      <c r="D39" s="300"/>
      <c r="E39" s="300"/>
      <c r="F39" s="300"/>
      <c r="G39" s="300"/>
      <c r="H39" s="71"/>
      <c r="I39" s="87"/>
      <c r="J39" s="67"/>
      <c r="K39" s="68"/>
      <c r="L39" s="63"/>
    </row>
    <row r="40" spans="2:16" ht="40.25" customHeight="1">
      <c r="B40" s="69"/>
      <c r="C40" s="298" t="s">
        <v>244</v>
      </c>
      <c r="D40" s="299"/>
      <c r="E40" s="299"/>
      <c r="F40" s="299"/>
      <c r="G40" s="299"/>
      <c r="H40" s="299"/>
      <c r="I40" s="299"/>
      <c r="J40" s="299"/>
      <c r="K40" s="70"/>
      <c r="L40" s="63"/>
    </row>
    <row r="41" spans="2:16" ht="17.399999999999999" customHeight="1">
      <c r="B41" s="69"/>
      <c r="C41" s="272" t="s">
        <v>243</v>
      </c>
      <c r="D41" s="272"/>
      <c r="E41" s="272"/>
      <c r="F41" s="272"/>
      <c r="G41" s="272"/>
      <c r="H41" s="3"/>
      <c r="I41" s="3"/>
      <c r="J41" s="19"/>
      <c r="K41" s="70"/>
      <c r="L41" s="63"/>
    </row>
    <row r="42" spans="2:16" ht="15.65" customHeight="1">
      <c r="B42" s="69"/>
      <c r="C42" s="272" t="s">
        <v>17</v>
      </c>
      <c r="D42" s="272"/>
      <c r="E42" s="88"/>
      <c r="F42" s="71"/>
      <c r="G42" s="89" t="s">
        <v>11</v>
      </c>
      <c r="H42" s="272" t="s">
        <v>223</v>
      </c>
      <c r="I42" s="272"/>
      <c r="J42" s="71"/>
      <c r="K42" s="70"/>
      <c r="L42" s="63"/>
    </row>
    <row r="43" spans="2:16" ht="5.4" customHeight="1" thickBot="1">
      <c r="B43" s="83"/>
      <c r="C43" s="85"/>
      <c r="D43" s="85"/>
      <c r="E43" s="85"/>
      <c r="F43" s="85"/>
      <c r="G43" s="85"/>
      <c r="H43" s="85"/>
      <c r="I43" s="85"/>
      <c r="J43" s="85"/>
      <c r="K43" s="90"/>
      <c r="L43" s="63"/>
    </row>
    <row r="44" spans="2:16" ht="7.25" customHeight="1" thickTop="1"/>
  </sheetData>
  <sheetProtection formatCells="0"/>
  <mergeCells count="48">
    <mergeCell ref="I19:I20"/>
    <mergeCell ref="I21:I22"/>
    <mergeCell ref="H13:I13"/>
    <mergeCell ref="C12:E12"/>
    <mergeCell ref="F12:J12"/>
    <mergeCell ref="C14:D14"/>
    <mergeCell ref="F14:G14"/>
    <mergeCell ref="C15:E15"/>
    <mergeCell ref="D19:E19"/>
    <mergeCell ref="D20:E20"/>
    <mergeCell ref="C17:C18"/>
    <mergeCell ref="D17:E18"/>
    <mergeCell ref="F17:F18"/>
    <mergeCell ref="G17:G18"/>
    <mergeCell ref="H17:H18"/>
    <mergeCell ref="I17:I18"/>
    <mergeCell ref="C31:H31"/>
    <mergeCell ref="I23:I24"/>
    <mergeCell ref="C40:J40"/>
    <mergeCell ref="C39:G39"/>
    <mergeCell ref="C32:J32"/>
    <mergeCell ref="D24:E24"/>
    <mergeCell ref="D25:E25"/>
    <mergeCell ref="D26:E26"/>
    <mergeCell ref="D27:E27"/>
    <mergeCell ref="D28:E28"/>
    <mergeCell ref="I25:I26"/>
    <mergeCell ref="I27:I28"/>
    <mergeCell ref="H37:J37"/>
    <mergeCell ref="C35:E35"/>
    <mergeCell ref="C36:E36"/>
    <mergeCell ref="I29:I30"/>
    <mergeCell ref="C41:G41"/>
    <mergeCell ref="H42:I42"/>
    <mergeCell ref="C42:D42"/>
    <mergeCell ref="C3:J7"/>
    <mergeCell ref="F15:G15"/>
    <mergeCell ref="H15:J15"/>
    <mergeCell ref="J17:J18"/>
    <mergeCell ref="D34:E34"/>
    <mergeCell ref="C37:D37"/>
    <mergeCell ref="D21:E21"/>
    <mergeCell ref="D22:E22"/>
    <mergeCell ref="D33:E33"/>
    <mergeCell ref="D23:E23"/>
    <mergeCell ref="I33:I34"/>
    <mergeCell ref="D29:E29"/>
    <mergeCell ref="D30:E30"/>
  </mergeCells>
  <conditionalFormatting sqref="J35:K36 K34">
    <cfRule type="containsText" dxfId="18" priority="24" operator="containsText" text="Fail">
      <formula>NOT(ISERROR(SEARCH("Fail",J34)))</formula>
    </cfRule>
  </conditionalFormatting>
  <conditionalFormatting sqref="P30:P31">
    <cfRule type="containsText" dxfId="17" priority="26" operator="containsText" text="Fail">
      <formula>NOT(ISERROR(SEARCH("Fail",P30)))</formula>
    </cfRule>
  </conditionalFormatting>
  <conditionalFormatting sqref="C19:C30">
    <cfRule type="containsText" dxfId="16" priority="23" operator="containsText" text="SORRY">
      <formula>NOT(ISERROR(SEARCH("SORRY",C19)))</formula>
    </cfRule>
  </conditionalFormatting>
  <conditionalFormatting sqref="D19:E30">
    <cfRule type="containsText" dxfId="15" priority="22" operator="containsText" text="SUB.CODE IS WRONG">
      <formula>NOT(ISERROR(SEARCH("SUB.CODE IS WRONG",D19)))</formula>
    </cfRule>
  </conditionalFormatting>
  <conditionalFormatting sqref="F12:J12">
    <cfRule type="containsText" dxfId="14" priority="11" operator="containsText" text="This Symbol No. is not in Grade Ledger">
      <formula>NOT(ISERROR(SEARCH("This Symbol No. is not in Grade Ledger",F12)))</formula>
    </cfRule>
  </conditionalFormatting>
  <conditionalFormatting sqref="G33:J34">
    <cfRule type="containsText" dxfId="13" priority="10" operator="containsText" text="ABS">
      <formula>NOT(ISERROR(SEARCH("ABS",G33)))</formula>
    </cfRule>
    <cfRule type="containsText" dxfId="12" priority="9" operator="containsText" text="ABS">
      <formula>NOT(ISERROR(SEARCH("ABS",G33)))</formula>
    </cfRule>
  </conditionalFormatting>
  <conditionalFormatting sqref="C33:C34">
    <cfRule type="cellIs" dxfId="11" priority="4" operator="lessThan">
      <formula>2</formula>
    </cfRule>
  </conditionalFormatting>
  <conditionalFormatting sqref="D33:E34">
    <cfRule type="containsText" dxfId="10" priority="3" operator="containsText" text="SUB.CODE IS WRONG">
      <formula>NOT(ISERROR(SEARCH("SUB.CODE IS WRONG",D33)))</formula>
    </cfRule>
  </conditionalFormatting>
  <conditionalFormatting sqref="D23:E23">
    <cfRule type="containsText" dxfId="9" priority="2" operator="containsText" text="SUB.CODE IS WRONG">
      <formula>NOT(ISERROR(SEARCH("SUB.CODE IS WRONG",D23)))</formula>
    </cfRule>
  </conditionalFormatting>
  <conditionalFormatting sqref="D24:E24">
    <cfRule type="containsText" dxfId="8" priority="1" operator="containsText" text="SUB.CODE IS WRONG">
      <formula>NOT(ISERROR(SEARCH("SUB.CODE IS WRONG",D24)))</formula>
    </cfRule>
  </conditionalFormatting>
  <dataValidations count="2">
    <dataValidation type="list" allowBlank="1" showInputMessage="1" showErrorMessage="1" sqref="G14">
      <formula1>"5001,5002,5003,5004,5005"</formula1>
    </dataValidation>
    <dataValidation type="list" allowBlank="1" showInputMessage="1" showErrorMessage="1" sqref="H14">
      <formula1>SymbolNo</formula1>
    </dataValidation>
  </dataValidations>
  <printOptions horizontalCentered="1" verticalCentered="1"/>
  <pageMargins left="0.25" right="0.25" top="0.25" bottom="0.25" header="0.3" footer="0.3"/>
  <pageSetup paperSize="9" scale="9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B1:G164"/>
  <sheetViews>
    <sheetView showGridLines="0" zoomScale="115" zoomScaleNormal="115" workbookViewId="0">
      <selection activeCell="B165" sqref="B165"/>
    </sheetView>
  </sheetViews>
  <sheetFormatPr defaultColWidth="8.90625" defaultRowHeight="14.5"/>
  <cols>
    <col min="1" max="1" width="1.54296875" style="2" customWidth="1"/>
    <col min="2" max="2" width="13.453125" style="2" customWidth="1"/>
    <col min="3" max="3" width="27.81640625" style="2" customWidth="1"/>
    <col min="4" max="4" width="14.54296875" style="2" customWidth="1"/>
    <col min="5" max="5" width="17.1796875" style="2" customWidth="1"/>
    <col min="6" max="6" width="8.54296875" style="2" customWidth="1"/>
    <col min="7" max="7" width="10.08984375" style="2" customWidth="1"/>
    <col min="8" max="10" width="10.453125" style="2" customWidth="1"/>
    <col min="11" max="16384" width="8.90625" style="2"/>
  </cols>
  <sheetData>
    <row r="1" spans="2:7" ht="6" customHeight="1"/>
    <row r="13" spans="2:7" ht="15" customHeight="1" thickBot="1"/>
    <row r="14" spans="2:7" ht="23.4" customHeight="1">
      <c r="B14" s="91" t="s">
        <v>14</v>
      </c>
      <c r="C14" s="92" t="s">
        <v>1</v>
      </c>
      <c r="D14" s="92" t="s">
        <v>2</v>
      </c>
      <c r="E14" s="93" t="s">
        <v>24</v>
      </c>
      <c r="F14" s="65" t="s">
        <v>7</v>
      </c>
      <c r="G14" s="94" t="s">
        <v>240</v>
      </c>
    </row>
    <row r="15" spans="2:7" ht="15.5">
      <c r="B15" s="95">
        <f>PROCESSING!B5</f>
        <v>11300001</v>
      </c>
      <c r="C15" s="96" t="str">
        <f>PROCESSING!C5</f>
        <v>Suraj Bhattari</v>
      </c>
      <c r="D15" s="97">
        <f>PROCESSING!D5</f>
        <v>58766</v>
      </c>
      <c r="E15" s="121">
        <f>PROCESSING!E5</f>
        <v>781130010001</v>
      </c>
      <c r="F15" s="98">
        <f>PROCESSING!AJ5</f>
        <v>3.159259259259259</v>
      </c>
      <c r="G15" s="95">
        <f>IFERROR(RANK(Table2[[#This Row],[GPA]],[GPA],0)+COUNTIF(Table2[[#This Row],[GPA]],Table2[[#This Row],[GPA]])-1,"*")</f>
        <v>3</v>
      </c>
    </row>
    <row r="16" spans="2:7" ht="15.5">
      <c r="B16" s="95">
        <f>PROCESSING!B6</f>
        <v>11300002</v>
      </c>
      <c r="C16" s="96" t="str">
        <f>PROCESSING!C6</f>
        <v>Nikhil</v>
      </c>
      <c r="D16" s="97">
        <f>PROCESSING!D6</f>
        <v>58225</v>
      </c>
      <c r="E16" s="121">
        <f>PROCESSING!E6</f>
        <v>781130010002</v>
      </c>
      <c r="F16" s="98">
        <f>PROCESSING!AJ6</f>
        <v>3.7851851851851852</v>
      </c>
      <c r="G16" s="99">
        <f>IFERROR(RANK(Table2[[#This Row],[GPA]],[GPA],0)+COUNTIF(Table2[[#This Row],[GPA]],Table2[[#This Row],[GPA]])-1,"*")</f>
        <v>1</v>
      </c>
    </row>
    <row r="17" spans="2:7" ht="15.5">
      <c r="B17" s="95">
        <f>PROCESSING!B7</f>
        <v>11300003</v>
      </c>
      <c r="C17" s="96" t="str">
        <f>PROCESSING!C7</f>
        <v>dipika</v>
      </c>
      <c r="D17" s="97">
        <f>PROCESSING!D7</f>
        <v>58025</v>
      </c>
      <c r="E17" s="121">
        <f>PROCESSING!E7</f>
        <v>781130010003</v>
      </c>
      <c r="F17" s="98">
        <f>PROCESSING!AJ7</f>
        <v>3.2037037037037037</v>
      </c>
      <c r="G17" s="99">
        <f>IFERROR(RANK(Table2[[#This Row],[GPA]],[GPA],0)+COUNTIF(Table2[[#This Row],[GPA]],Table2[[#This Row],[GPA]])-1,"*")</f>
        <v>2</v>
      </c>
    </row>
    <row r="18" spans="2:7" ht="15.5">
      <c r="B18" s="95">
        <f>PROCESSING!B8</f>
        <v>11300004</v>
      </c>
      <c r="C18" s="96" t="str">
        <f>PROCESSING!C8</f>
        <v>krish</v>
      </c>
      <c r="D18" s="97">
        <f>PROCESSING!D8</f>
        <v>59328</v>
      </c>
      <c r="E18" s="121">
        <f>PROCESSING!E8</f>
        <v>781130010004</v>
      </c>
      <c r="F18" s="98" t="str">
        <f>PROCESSING!AJ8</f>
        <v>-</v>
      </c>
      <c r="G18" s="99" t="str">
        <f>IFERROR(RANK(Table2[[#This Row],[GPA]],[GPA],0)+COUNTIF(Table2[[#This Row],[GPA]],Table2[[#This Row],[GPA]])-1,"*")</f>
        <v>*</v>
      </c>
    </row>
    <row r="19" spans="2:7" ht="15.5">
      <c r="B19" s="95">
        <f>PROCESSING!B9</f>
        <v>11300005</v>
      </c>
      <c r="C19" s="96" t="str">
        <f>PROCESSING!C9</f>
        <v>lekhnath</v>
      </c>
      <c r="D19" s="97">
        <f>PROCESSING!D9</f>
        <v>57734</v>
      </c>
      <c r="E19" s="121">
        <f>PROCESSING!E9</f>
        <v>781130010005</v>
      </c>
      <c r="F19" s="98" t="str">
        <f>PROCESSING!AJ9</f>
        <v>-</v>
      </c>
      <c r="G19" s="99" t="str">
        <f>IFERROR(RANK(Table2[[#This Row],[GPA]],[GPA],0)+COUNTIF(Table2[[#This Row],[GPA]],Table2[[#This Row],[GPA]])-1,"*")</f>
        <v>*</v>
      </c>
    </row>
    <row r="20" spans="2:7" ht="15.5">
      <c r="B20" s="95">
        <f>PROCESSING!B10</f>
        <v>11300006</v>
      </c>
      <c r="C20" s="96" t="str">
        <f>PROCESSING!C10</f>
        <v>ramesh</v>
      </c>
      <c r="D20" s="97">
        <f>PROCESSING!D10</f>
        <v>58089</v>
      </c>
      <c r="E20" s="121">
        <f>PROCESSING!E10</f>
        <v>781130010006</v>
      </c>
      <c r="F20" s="98">
        <f>PROCESSING!AJ10</f>
        <v>3.0111111111111111</v>
      </c>
      <c r="G20" s="99">
        <f>IFERROR(RANK(Table2[[#This Row],[GPA]],[GPA],0)+COUNTIF(Table2[[#This Row],[GPA]],Table2[[#This Row],[GPA]])-1,"*")</f>
        <v>5</v>
      </c>
    </row>
    <row r="21" spans="2:7" ht="15.5">
      <c r="B21" s="95">
        <f>PROCESSING!B11</f>
        <v>11300007</v>
      </c>
      <c r="C21" s="96" t="str">
        <f>PROCESSING!C11</f>
        <v>hari</v>
      </c>
      <c r="D21" s="97">
        <f>PROCESSING!D11</f>
        <v>58564</v>
      </c>
      <c r="E21" s="121">
        <f>PROCESSING!E11</f>
        <v>781130010007</v>
      </c>
      <c r="F21" s="98">
        <f>PROCESSING!AJ11</f>
        <v>3.074074074074074</v>
      </c>
      <c r="G21" s="99">
        <f>IFERROR(RANK(Table2[[#This Row],[GPA]],[GPA],0)+COUNTIF(Table2[[#This Row],[GPA]],Table2[[#This Row],[GPA]])-1,"*")</f>
        <v>4</v>
      </c>
    </row>
    <row r="22" spans="2:7" ht="15.5">
      <c r="B22" s="95">
        <f>PROCESSING!B12</f>
        <v>11300008</v>
      </c>
      <c r="C22" s="96" t="str">
        <f>PROCESSING!C12</f>
        <v>pawan</v>
      </c>
      <c r="D22" s="97">
        <f>PROCESSING!D12</f>
        <v>58997</v>
      </c>
      <c r="E22" s="121">
        <f>PROCESSING!E12</f>
        <v>781130010008</v>
      </c>
      <c r="F22" s="98" t="str">
        <f>PROCESSING!AJ12</f>
        <v>-</v>
      </c>
      <c r="G22" s="99" t="str">
        <f>IFERROR(RANK(Table2[[#This Row],[GPA]],[GPA],0)+COUNTIF(Table2[[#This Row],[GPA]],Table2[[#This Row],[GPA]])-1,"*")</f>
        <v>*</v>
      </c>
    </row>
    <row r="23" spans="2:7" ht="15.5">
      <c r="B23" s="95">
        <f>PROCESSING!B13</f>
        <v>11300009</v>
      </c>
      <c r="C23" s="96" t="str">
        <f>PROCESSING!C13</f>
        <v>madhu</v>
      </c>
      <c r="D23" s="97">
        <f>PROCESSING!D13</f>
        <v>55113</v>
      </c>
      <c r="E23" s="121">
        <f>PROCESSING!E13</f>
        <v>781130010009</v>
      </c>
      <c r="F23" s="98" t="str">
        <f>PROCESSING!AJ13</f>
        <v>-</v>
      </c>
      <c r="G23" s="99" t="str">
        <f>IFERROR(RANK(Table2[[#This Row],[GPA]],[GPA],0)+COUNTIF(Table2[[#This Row],[GPA]],Table2[[#This Row],[GPA]])-1,"*")</f>
        <v>*</v>
      </c>
    </row>
    <row r="24" spans="2:7" ht="15.5">
      <c r="B24" s="95">
        <f>PROCESSING!B14</f>
        <v>11300010</v>
      </c>
      <c r="C24" s="96" t="str">
        <f>PROCESSING!C14</f>
        <v>siddhartha</v>
      </c>
      <c r="D24" s="97">
        <f>PROCESSING!D14</f>
        <v>57245</v>
      </c>
      <c r="E24" s="121">
        <f>PROCESSING!E14</f>
        <v>781130010010</v>
      </c>
      <c r="F24" s="98">
        <f>PROCESSING!AJ14</f>
        <v>2.5444444444444447</v>
      </c>
      <c r="G24" s="99">
        <f>IFERROR(RANK(Table2[[#This Row],[GPA]],[GPA],0)+COUNTIF(Table2[[#This Row],[GPA]],Table2[[#This Row],[GPA]])-1,"*")</f>
        <v>6</v>
      </c>
    </row>
    <row r="25" spans="2:7" ht="15.5">
      <c r="B25" s="95">
        <f>PROCESSING!B15</f>
        <v>11300011</v>
      </c>
      <c r="C25" s="96" t="str">
        <f>PROCESSING!C15</f>
        <v>lalit</v>
      </c>
      <c r="D25" s="97">
        <f>PROCESSING!D15</f>
        <v>56181</v>
      </c>
      <c r="E25" s="121">
        <f>PROCESSING!E15</f>
        <v>781130010011</v>
      </c>
      <c r="F25" s="98" t="str">
        <f>PROCESSING!AJ15</f>
        <v>-</v>
      </c>
      <c r="G25" s="99" t="str">
        <f>IFERROR(RANK(Table2[[#This Row],[GPA]],[GPA],0)+COUNTIF(Table2[[#This Row],[GPA]],Table2[[#This Row],[GPA]])-1,"*")</f>
        <v>*</v>
      </c>
    </row>
    <row r="26" spans="2:7" ht="15.5">
      <c r="B26" s="95">
        <f>PROCESSING!B16</f>
        <v>11300014</v>
      </c>
      <c r="C26" s="96" t="str">
        <f>PROCESSING!C16</f>
        <v>bhumika</v>
      </c>
      <c r="D26" s="97">
        <f>PROCESSING!D16</f>
        <v>59902</v>
      </c>
      <c r="E26" s="121">
        <f>PROCESSING!E16</f>
        <v>781130010012</v>
      </c>
      <c r="F26" s="98" t="str">
        <f>PROCESSING!AJ16</f>
        <v>-</v>
      </c>
      <c r="G26" s="99" t="str">
        <f>IFERROR(RANK(Table2[[#This Row],[GPA]],[GPA],0)+COUNTIF(Table2[[#This Row],[GPA]],Table2[[#This Row],[GPA]])-1,"*")</f>
        <v>*</v>
      </c>
    </row>
    <row r="27" spans="2:7" ht="15.5">
      <c r="B27" s="95">
        <f>PROCESSING!B17</f>
        <v>0</v>
      </c>
      <c r="C27" s="96">
        <f>PROCESSING!C17</f>
        <v>0</v>
      </c>
      <c r="D27" s="97">
        <f>PROCESSING!D17</f>
        <v>0</v>
      </c>
      <c r="E27" s="121">
        <f>PROCESSING!E17</f>
        <v>0</v>
      </c>
      <c r="F27" s="98" t="str">
        <f>PROCESSING!AJ17</f>
        <v>-</v>
      </c>
      <c r="G27" s="99" t="str">
        <f>IFERROR(RANK(Table2[[#This Row],[GPA]],[GPA],0)+COUNTIF(Table2[[#This Row],[GPA]],Table2[[#This Row],[GPA]])-1,"*")</f>
        <v>*</v>
      </c>
    </row>
    <row r="28" spans="2:7" ht="15.5">
      <c r="B28" s="95">
        <f>PROCESSING!B18</f>
        <v>0</v>
      </c>
      <c r="C28" s="96">
        <f>PROCESSING!C18</f>
        <v>0</v>
      </c>
      <c r="D28" s="97">
        <f>PROCESSING!D18</f>
        <v>0</v>
      </c>
      <c r="E28" s="121">
        <f>PROCESSING!E18</f>
        <v>0</v>
      </c>
      <c r="F28" s="98" t="str">
        <f>PROCESSING!AJ18</f>
        <v>-</v>
      </c>
      <c r="G28" s="99" t="str">
        <f>IFERROR(RANK(Table2[[#This Row],[GPA]],[GPA],0)+COUNTIF(Table2[[#This Row],[GPA]],Table2[[#This Row],[GPA]])-1,"*")</f>
        <v>*</v>
      </c>
    </row>
    <row r="29" spans="2:7" ht="15.5">
      <c r="B29" s="95">
        <f>PROCESSING!B19</f>
        <v>0</v>
      </c>
      <c r="C29" s="96">
        <f>PROCESSING!C19</f>
        <v>0</v>
      </c>
      <c r="D29" s="97">
        <f>PROCESSING!D19</f>
        <v>0</v>
      </c>
      <c r="E29" s="121">
        <f>PROCESSING!E19</f>
        <v>0</v>
      </c>
      <c r="F29" s="98" t="str">
        <f>PROCESSING!AJ19</f>
        <v>-</v>
      </c>
      <c r="G29" s="99" t="str">
        <f>IFERROR(RANK(Table2[[#This Row],[GPA]],[GPA],0)+COUNTIF(Table2[[#This Row],[GPA]],Table2[[#This Row],[GPA]])-1,"*")</f>
        <v>*</v>
      </c>
    </row>
    <row r="30" spans="2:7" ht="15.5">
      <c r="B30" s="95">
        <f>PROCESSING!B20</f>
        <v>0</v>
      </c>
      <c r="C30" s="96">
        <f>PROCESSING!C20</f>
        <v>0</v>
      </c>
      <c r="D30" s="97">
        <f>PROCESSING!D20</f>
        <v>0</v>
      </c>
      <c r="E30" s="121">
        <f>PROCESSING!E20</f>
        <v>0</v>
      </c>
      <c r="F30" s="98" t="str">
        <f>PROCESSING!AJ20</f>
        <v>-</v>
      </c>
      <c r="G30" s="99" t="str">
        <f>IFERROR(RANK(Table2[[#This Row],[GPA]],[GPA],0)+COUNTIF(Table2[[#This Row],[GPA]],Table2[[#This Row],[GPA]])-1,"*")</f>
        <v>*</v>
      </c>
    </row>
    <row r="31" spans="2:7" ht="15.5">
      <c r="B31" s="95">
        <f>PROCESSING!B21</f>
        <v>0</v>
      </c>
      <c r="C31" s="96">
        <f>PROCESSING!C21</f>
        <v>0</v>
      </c>
      <c r="D31" s="97">
        <f>PROCESSING!D21</f>
        <v>0</v>
      </c>
      <c r="E31" s="121">
        <f>PROCESSING!E21</f>
        <v>0</v>
      </c>
      <c r="F31" s="98" t="str">
        <f>PROCESSING!AJ21</f>
        <v>-</v>
      </c>
      <c r="G31" s="99" t="str">
        <f>IFERROR(RANK(Table2[[#This Row],[GPA]],[GPA],0)+COUNTIF(Table2[[#This Row],[GPA]],Table2[[#This Row],[GPA]])-1,"*")</f>
        <v>*</v>
      </c>
    </row>
    <row r="32" spans="2:7" ht="15.5">
      <c r="B32" s="95">
        <f>PROCESSING!B22</f>
        <v>0</v>
      </c>
      <c r="C32" s="96">
        <f>PROCESSING!C22</f>
        <v>0</v>
      </c>
      <c r="D32" s="97">
        <f>PROCESSING!D22</f>
        <v>0</v>
      </c>
      <c r="E32" s="121">
        <f>PROCESSING!E22</f>
        <v>0</v>
      </c>
      <c r="F32" s="98" t="str">
        <f>PROCESSING!AJ22</f>
        <v>-</v>
      </c>
      <c r="G32" s="99" t="str">
        <f>IFERROR(RANK(Table2[[#This Row],[GPA]],[GPA],0)+COUNTIF(Table2[[#This Row],[GPA]],Table2[[#This Row],[GPA]])-1,"*")</f>
        <v>*</v>
      </c>
    </row>
    <row r="33" spans="2:7" ht="15.5">
      <c r="B33" s="95">
        <f>PROCESSING!B23</f>
        <v>0</v>
      </c>
      <c r="C33" s="96">
        <f>PROCESSING!C23</f>
        <v>0</v>
      </c>
      <c r="D33" s="97">
        <f>PROCESSING!D23</f>
        <v>0</v>
      </c>
      <c r="E33" s="121">
        <f>PROCESSING!E23</f>
        <v>0</v>
      </c>
      <c r="F33" s="98" t="str">
        <f>PROCESSING!AJ23</f>
        <v>-</v>
      </c>
      <c r="G33" s="99" t="str">
        <f>IFERROR(RANK(Table2[[#This Row],[GPA]],[GPA],0)+COUNTIF(Table2[[#This Row],[GPA]],Table2[[#This Row],[GPA]])-1,"*")</f>
        <v>*</v>
      </c>
    </row>
    <row r="34" spans="2:7" ht="15.5">
      <c r="B34" s="95">
        <f>PROCESSING!B24</f>
        <v>0</v>
      </c>
      <c r="C34" s="96">
        <f>PROCESSING!C24</f>
        <v>0</v>
      </c>
      <c r="D34" s="97">
        <f>PROCESSING!D24</f>
        <v>0</v>
      </c>
      <c r="E34" s="121">
        <f>PROCESSING!E24</f>
        <v>0</v>
      </c>
      <c r="F34" s="98" t="str">
        <f>PROCESSING!AJ24</f>
        <v>-</v>
      </c>
      <c r="G34" s="99" t="str">
        <f>IFERROR(RANK(Table2[[#This Row],[GPA]],[GPA],0)+COUNTIF(Table2[[#This Row],[GPA]],Table2[[#This Row],[GPA]])-1,"*")</f>
        <v>*</v>
      </c>
    </row>
    <row r="35" spans="2:7" ht="15.5">
      <c r="B35" s="95">
        <f>PROCESSING!B25</f>
        <v>0</v>
      </c>
      <c r="C35" s="96">
        <f>PROCESSING!C25</f>
        <v>0</v>
      </c>
      <c r="D35" s="97">
        <f>PROCESSING!D25</f>
        <v>0</v>
      </c>
      <c r="E35" s="121">
        <f>PROCESSING!E25</f>
        <v>0</v>
      </c>
      <c r="F35" s="98" t="str">
        <f>PROCESSING!AJ25</f>
        <v>-</v>
      </c>
      <c r="G35" s="99" t="str">
        <f>IFERROR(RANK(Table2[[#This Row],[GPA]],[GPA],0)+COUNTIF(Table2[[#This Row],[GPA]],Table2[[#This Row],[GPA]])-1,"*")</f>
        <v>*</v>
      </c>
    </row>
    <row r="36" spans="2:7" ht="15.5">
      <c r="B36" s="95">
        <f>PROCESSING!B26</f>
        <v>0</v>
      </c>
      <c r="C36" s="96">
        <f>PROCESSING!C26</f>
        <v>0</v>
      </c>
      <c r="D36" s="97">
        <f>PROCESSING!D26</f>
        <v>0</v>
      </c>
      <c r="E36" s="121">
        <f>PROCESSING!E26</f>
        <v>0</v>
      </c>
      <c r="F36" s="98" t="str">
        <f>PROCESSING!AJ26</f>
        <v>-</v>
      </c>
      <c r="G36" s="99" t="str">
        <f>IFERROR(RANK(Table2[[#This Row],[GPA]],[GPA],0)+COUNTIF(Table2[[#This Row],[GPA]],Table2[[#This Row],[GPA]])-1,"*")</f>
        <v>*</v>
      </c>
    </row>
    <row r="37" spans="2:7" ht="15.5">
      <c r="B37" s="95">
        <f>PROCESSING!B27</f>
        <v>0</v>
      </c>
      <c r="C37" s="96">
        <f>PROCESSING!C27</f>
        <v>0</v>
      </c>
      <c r="D37" s="97">
        <f>PROCESSING!D27</f>
        <v>0</v>
      </c>
      <c r="E37" s="121">
        <f>PROCESSING!E27</f>
        <v>0</v>
      </c>
      <c r="F37" s="98" t="str">
        <f>PROCESSING!AJ27</f>
        <v>-</v>
      </c>
      <c r="G37" s="99" t="str">
        <f>IFERROR(RANK(Table2[[#This Row],[GPA]],[GPA],0)+COUNTIF(Table2[[#This Row],[GPA]],Table2[[#This Row],[GPA]])-1,"*")</f>
        <v>*</v>
      </c>
    </row>
    <row r="38" spans="2:7" ht="15.5">
      <c r="B38" s="95">
        <f>PROCESSING!B28</f>
        <v>0</v>
      </c>
      <c r="C38" s="96">
        <f>PROCESSING!C28</f>
        <v>0</v>
      </c>
      <c r="D38" s="97">
        <f>PROCESSING!D28</f>
        <v>0</v>
      </c>
      <c r="E38" s="121">
        <f>PROCESSING!E28</f>
        <v>0</v>
      </c>
      <c r="F38" s="98" t="str">
        <f>PROCESSING!AJ28</f>
        <v>-</v>
      </c>
      <c r="G38" s="99" t="str">
        <f>IFERROR(RANK(Table2[[#This Row],[GPA]],[GPA],0)+COUNTIF(Table2[[#This Row],[GPA]],Table2[[#This Row],[GPA]])-1,"*")</f>
        <v>*</v>
      </c>
    </row>
    <row r="39" spans="2:7" ht="15.5">
      <c r="B39" s="95">
        <f>PROCESSING!B29</f>
        <v>0</v>
      </c>
      <c r="C39" s="96">
        <f>PROCESSING!C29</f>
        <v>0</v>
      </c>
      <c r="D39" s="97">
        <f>PROCESSING!D29</f>
        <v>0</v>
      </c>
      <c r="E39" s="121">
        <f>PROCESSING!E29</f>
        <v>0</v>
      </c>
      <c r="F39" s="98" t="str">
        <f>PROCESSING!AJ29</f>
        <v>-</v>
      </c>
      <c r="G39" s="99" t="str">
        <f>IFERROR(RANK(Table2[[#This Row],[GPA]],[GPA],0)+COUNTIF(Table2[[#This Row],[GPA]],Table2[[#This Row],[GPA]])-1,"*")</f>
        <v>*</v>
      </c>
    </row>
    <row r="40" spans="2:7" ht="15.5">
      <c r="B40" s="95">
        <f>PROCESSING!B30</f>
        <v>0</v>
      </c>
      <c r="C40" s="96">
        <f>PROCESSING!C30</f>
        <v>0</v>
      </c>
      <c r="D40" s="97">
        <f>PROCESSING!D30</f>
        <v>0</v>
      </c>
      <c r="E40" s="121">
        <f>PROCESSING!E30</f>
        <v>0</v>
      </c>
      <c r="F40" s="98" t="str">
        <f>PROCESSING!AJ30</f>
        <v>-</v>
      </c>
      <c r="G40" s="99" t="str">
        <f>IFERROR(RANK(Table2[[#This Row],[GPA]],[GPA],0)+COUNTIF(Table2[[#This Row],[GPA]],Table2[[#This Row],[GPA]])-1,"*")</f>
        <v>*</v>
      </c>
    </row>
    <row r="41" spans="2:7" ht="15.5">
      <c r="B41" s="95">
        <f>PROCESSING!B31</f>
        <v>0</v>
      </c>
      <c r="C41" s="96">
        <f>PROCESSING!C31</f>
        <v>0</v>
      </c>
      <c r="D41" s="97">
        <f>PROCESSING!D31</f>
        <v>0</v>
      </c>
      <c r="E41" s="121">
        <f>PROCESSING!E31</f>
        <v>0</v>
      </c>
      <c r="F41" s="98" t="str">
        <f>PROCESSING!AJ31</f>
        <v>-</v>
      </c>
      <c r="G41" s="99" t="str">
        <f>IFERROR(RANK(Table2[[#This Row],[GPA]],[GPA],0)+COUNTIF(Table2[[#This Row],[GPA]],Table2[[#This Row],[GPA]])-1,"*")</f>
        <v>*</v>
      </c>
    </row>
    <row r="42" spans="2:7" ht="15.5">
      <c r="B42" s="95">
        <f>PROCESSING!B32</f>
        <v>0</v>
      </c>
      <c r="C42" s="96">
        <f>PROCESSING!C32</f>
        <v>0</v>
      </c>
      <c r="D42" s="97">
        <f>PROCESSING!D32</f>
        <v>0</v>
      </c>
      <c r="E42" s="121">
        <f>PROCESSING!E32</f>
        <v>0</v>
      </c>
      <c r="F42" s="98" t="str">
        <f>PROCESSING!AJ32</f>
        <v>-</v>
      </c>
      <c r="G42" s="99" t="str">
        <f>IFERROR(RANK(Table2[[#This Row],[GPA]],[GPA],0)+COUNTIF(Table2[[#This Row],[GPA]],Table2[[#This Row],[GPA]])-1,"*")</f>
        <v>*</v>
      </c>
    </row>
    <row r="43" spans="2:7" ht="15.5">
      <c r="B43" s="95">
        <f>PROCESSING!B33</f>
        <v>0</v>
      </c>
      <c r="C43" s="96">
        <f>PROCESSING!C33</f>
        <v>0</v>
      </c>
      <c r="D43" s="97">
        <f>PROCESSING!D33</f>
        <v>0</v>
      </c>
      <c r="E43" s="121">
        <f>PROCESSING!E33</f>
        <v>0</v>
      </c>
      <c r="F43" s="98" t="str">
        <f>PROCESSING!AJ33</f>
        <v>-</v>
      </c>
      <c r="G43" s="99" t="str">
        <f>IFERROR(RANK(Table2[[#This Row],[GPA]],[GPA],0)+COUNTIF(Table2[[#This Row],[GPA]],Table2[[#This Row],[GPA]])-1,"*")</f>
        <v>*</v>
      </c>
    </row>
    <row r="44" spans="2:7" ht="15.5">
      <c r="B44" s="95">
        <f>PROCESSING!B34</f>
        <v>0</v>
      </c>
      <c r="C44" s="96">
        <f>PROCESSING!C34</f>
        <v>0</v>
      </c>
      <c r="D44" s="97">
        <f>PROCESSING!D34</f>
        <v>0</v>
      </c>
      <c r="E44" s="121">
        <f>PROCESSING!E34</f>
        <v>0</v>
      </c>
      <c r="F44" s="98" t="str">
        <f>PROCESSING!AJ34</f>
        <v>-</v>
      </c>
      <c r="G44" s="99" t="str">
        <f>IFERROR(RANK(Table2[[#This Row],[GPA]],[GPA],0)+COUNTIF(Table2[[#This Row],[GPA]],Table2[[#This Row],[GPA]])-1,"*")</f>
        <v>*</v>
      </c>
    </row>
    <row r="45" spans="2:7" ht="15.5">
      <c r="B45" s="95">
        <f>PROCESSING!B35</f>
        <v>0</v>
      </c>
      <c r="C45" s="96">
        <f>PROCESSING!C35</f>
        <v>0</v>
      </c>
      <c r="D45" s="97">
        <f>PROCESSING!D35</f>
        <v>0</v>
      </c>
      <c r="E45" s="121">
        <f>PROCESSING!E35</f>
        <v>0</v>
      </c>
      <c r="F45" s="98" t="str">
        <f>PROCESSING!AJ35</f>
        <v>-</v>
      </c>
      <c r="G45" s="99" t="str">
        <f>IFERROR(RANK(Table2[[#This Row],[GPA]],[GPA],0)+COUNTIF(Table2[[#This Row],[GPA]],Table2[[#This Row],[GPA]])-1,"*")</f>
        <v>*</v>
      </c>
    </row>
    <row r="46" spans="2:7" ht="15.5">
      <c r="B46" s="95">
        <f>PROCESSING!B36</f>
        <v>0</v>
      </c>
      <c r="C46" s="96">
        <f>PROCESSING!C36</f>
        <v>0</v>
      </c>
      <c r="D46" s="97">
        <f>PROCESSING!D36</f>
        <v>0</v>
      </c>
      <c r="E46" s="121">
        <f>PROCESSING!E36</f>
        <v>0</v>
      </c>
      <c r="F46" s="98" t="str">
        <f>PROCESSING!AJ36</f>
        <v>-</v>
      </c>
      <c r="G46" s="99" t="str">
        <f>IFERROR(RANK(Table2[[#This Row],[GPA]],[GPA],0)+COUNTIF(Table2[[#This Row],[GPA]],Table2[[#This Row],[GPA]])-1,"*")</f>
        <v>*</v>
      </c>
    </row>
    <row r="47" spans="2:7" ht="15.5">
      <c r="B47" s="95">
        <f>PROCESSING!B37</f>
        <v>0</v>
      </c>
      <c r="C47" s="96">
        <f>PROCESSING!C37</f>
        <v>0</v>
      </c>
      <c r="D47" s="97">
        <f>PROCESSING!D37</f>
        <v>0</v>
      </c>
      <c r="E47" s="121">
        <f>PROCESSING!E37</f>
        <v>0</v>
      </c>
      <c r="F47" s="98" t="str">
        <f>PROCESSING!AJ37</f>
        <v>-</v>
      </c>
      <c r="G47" s="99" t="str">
        <f>IFERROR(RANK(Table2[[#This Row],[GPA]],[GPA],0)+COUNTIF(Table2[[#This Row],[GPA]],Table2[[#This Row],[GPA]])-1,"*")</f>
        <v>*</v>
      </c>
    </row>
    <row r="48" spans="2:7" ht="15.5">
      <c r="B48" s="95">
        <f>PROCESSING!B38</f>
        <v>0</v>
      </c>
      <c r="C48" s="96">
        <f>PROCESSING!C38</f>
        <v>0</v>
      </c>
      <c r="D48" s="97">
        <f>PROCESSING!D38</f>
        <v>0</v>
      </c>
      <c r="E48" s="121">
        <f>PROCESSING!E38</f>
        <v>0</v>
      </c>
      <c r="F48" s="98" t="str">
        <f>PROCESSING!AJ38</f>
        <v>-</v>
      </c>
      <c r="G48" s="99" t="str">
        <f>IFERROR(RANK(Table2[[#This Row],[GPA]],[GPA],0)+COUNTIF(Table2[[#This Row],[GPA]],Table2[[#This Row],[GPA]])-1,"*")</f>
        <v>*</v>
      </c>
    </row>
    <row r="49" spans="2:7" ht="15.5">
      <c r="B49" s="95">
        <f>PROCESSING!B39</f>
        <v>0</v>
      </c>
      <c r="C49" s="96">
        <f>PROCESSING!C39</f>
        <v>0</v>
      </c>
      <c r="D49" s="97">
        <f>PROCESSING!D39</f>
        <v>0</v>
      </c>
      <c r="E49" s="121">
        <f>PROCESSING!E39</f>
        <v>0</v>
      </c>
      <c r="F49" s="98" t="str">
        <f>PROCESSING!AJ39</f>
        <v>-</v>
      </c>
      <c r="G49" s="99" t="str">
        <f>IFERROR(RANK(Table2[[#This Row],[GPA]],[GPA],0)+COUNTIF(Table2[[#This Row],[GPA]],Table2[[#This Row],[GPA]])-1,"*")</f>
        <v>*</v>
      </c>
    </row>
    <row r="50" spans="2:7" ht="15.5">
      <c r="B50" s="95">
        <f>PROCESSING!B40</f>
        <v>0</v>
      </c>
      <c r="C50" s="96">
        <f>PROCESSING!C40</f>
        <v>0</v>
      </c>
      <c r="D50" s="97">
        <f>PROCESSING!D40</f>
        <v>0</v>
      </c>
      <c r="E50" s="121">
        <f>PROCESSING!E40</f>
        <v>0</v>
      </c>
      <c r="F50" s="98" t="str">
        <f>PROCESSING!AJ40</f>
        <v>-</v>
      </c>
      <c r="G50" s="99" t="str">
        <f>IFERROR(RANK(Table2[[#This Row],[GPA]],[GPA],0)+COUNTIF(Table2[[#This Row],[GPA]],Table2[[#This Row],[GPA]])-1,"*")</f>
        <v>*</v>
      </c>
    </row>
    <row r="51" spans="2:7" ht="15.5">
      <c r="B51" s="95">
        <f>PROCESSING!B41</f>
        <v>0</v>
      </c>
      <c r="C51" s="96">
        <f>PROCESSING!C41</f>
        <v>0</v>
      </c>
      <c r="D51" s="97">
        <f>PROCESSING!D41</f>
        <v>0</v>
      </c>
      <c r="E51" s="121">
        <f>PROCESSING!E41</f>
        <v>0</v>
      </c>
      <c r="F51" s="98" t="str">
        <f>PROCESSING!AJ41</f>
        <v>-</v>
      </c>
      <c r="G51" s="99" t="str">
        <f>IFERROR(RANK(Table2[[#This Row],[GPA]],[GPA],0)+COUNTIF(Table2[[#This Row],[GPA]],Table2[[#This Row],[GPA]])-1,"*")</f>
        <v>*</v>
      </c>
    </row>
    <row r="52" spans="2:7" ht="15.5">
      <c r="B52" s="95">
        <f>PROCESSING!B42</f>
        <v>0</v>
      </c>
      <c r="C52" s="96">
        <f>PROCESSING!C42</f>
        <v>0</v>
      </c>
      <c r="D52" s="97">
        <f>PROCESSING!D42</f>
        <v>0</v>
      </c>
      <c r="E52" s="121">
        <f>PROCESSING!E42</f>
        <v>0</v>
      </c>
      <c r="F52" s="98" t="str">
        <f>PROCESSING!AJ42</f>
        <v>-</v>
      </c>
      <c r="G52" s="99" t="str">
        <f>IFERROR(RANK(Table2[[#This Row],[GPA]],[GPA],0)+COUNTIF(Table2[[#This Row],[GPA]],Table2[[#This Row],[GPA]])-1,"*")</f>
        <v>*</v>
      </c>
    </row>
    <row r="53" spans="2:7" ht="15.5">
      <c r="B53" s="95">
        <f>PROCESSING!B43</f>
        <v>0</v>
      </c>
      <c r="C53" s="96">
        <f>PROCESSING!C43</f>
        <v>0</v>
      </c>
      <c r="D53" s="97">
        <f>PROCESSING!D43</f>
        <v>0</v>
      </c>
      <c r="E53" s="121">
        <f>PROCESSING!E43</f>
        <v>0</v>
      </c>
      <c r="F53" s="98" t="str">
        <f>PROCESSING!AJ43</f>
        <v>-</v>
      </c>
      <c r="G53" s="99" t="str">
        <f>IFERROR(RANK(Table2[[#This Row],[GPA]],[GPA],0)+COUNTIF(Table2[[#This Row],[GPA]],Table2[[#This Row],[GPA]])-1,"*")</f>
        <v>*</v>
      </c>
    </row>
    <row r="54" spans="2:7" ht="15.5">
      <c r="B54" s="95">
        <f>PROCESSING!B44</f>
        <v>0</v>
      </c>
      <c r="C54" s="96">
        <f>PROCESSING!C44</f>
        <v>0</v>
      </c>
      <c r="D54" s="97">
        <f>PROCESSING!D44</f>
        <v>0</v>
      </c>
      <c r="E54" s="121">
        <f>PROCESSING!E44</f>
        <v>0</v>
      </c>
      <c r="F54" s="98" t="str">
        <f>PROCESSING!AJ44</f>
        <v>-</v>
      </c>
      <c r="G54" s="99" t="str">
        <f>IFERROR(RANK(Table2[[#This Row],[GPA]],[GPA],0)+COUNTIF(Table2[[#This Row],[GPA]],Table2[[#This Row],[GPA]])-1,"*")</f>
        <v>*</v>
      </c>
    </row>
    <row r="55" spans="2:7" ht="15.5">
      <c r="B55" s="95">
        <f>PROCESSING!B45</f>
        <v>0</v>
      </c>
      <c r="C55" s="96">
        <f>PROCESSING!C45</f>
        <v>0</v>
      </c>
      <c r="D55" s="97">
        <f>PROCESSING!D45</f>
        <v>0</v>
      </c>
      <c r="E55" s="121">
        <f>PROCESSING!E45</f>
        <v>0</v>
      </c>
      <c r="F55" s="98" t="str">
        <f>PROCESSING!AJ45</f>
        <v>-</v>
      </c>
      <c r="G55" s="99" t="str">
        <f>IFERROR(RANK(Table2[[#This Row],[GPA]],[GPA],0)+COUNTIF(Table2[[#This Row],[GPA]],Table2[[#This Row],[GPA]])-1,"*")</f>
        <v>*</v>
      </c>
    </row>
    <row r="56" spans="2:7" ht="15.5">
      <c r="B56" s="95">
        <f>PROCESSING!B46</f>
        <v>0</v>
      </c>
      <c r="C56" s="96">
        <f>PROCESSING!C46</f>
        <v>0</v>
      </c>
      <c r="D56" s="97">
        <f>PROCESSING!D46</f>
        <v>0</v>
      </c>
      <c r="E56" s="121">
        <f>PROCESSING!E46</f>
        <v>0</v>
      </c>
      <c r="F56" s="98" t="str">
        <f>PROCESSING!AJ46</f>
        <v>-</v>
      </c>
      <c r="G56" s="99" t="str">
        <f>IFERROR(RANK(Table2[[#This Row],[GPA]],[GPA],0)+COUNTIF(Table2[[#This Row],[GPA]],Table2[[#This Row],[GPA]])-1,"*")</f>
        <v>*</v>
      </c>
    </row>
    <row r="57" spans="2:7" ht="15.5">
      <c r="B57" s="95">
        <f>PROCESSING!B47</f>
        <v>0</v>
      </c>
      <c r="C57" s="96">
        <f>PROCESSING!C47</f>
        <v>0</v>
      </c>
      <c r="D57" s="97">
        <f>PROCESSING!D47</f>
        <v>0</v>
      </c>
      <c r="E57" s="121">
        <f>PROCESSING!E47</f>
        <v>0</v>
      </c>
      <c r="F57" s="98" t="str">
        <f>PROCESSING!AJ47</f>
        <v>-</v>
      </c>
      <c r="G57" s="99" t="str">
        <f>IFERROR(RANK(Table2[[#This Row],[GPA]],[GPA],0)+COUNTIF(Table2[[#This Row],[GPA]],Table2[[#This Row],[GPA]])-1,"*")</f>
        <v>*</v>
      </c>
    </row>
    <row r="58" spans="2:7" ht="15.5">
      <c r="B58" s="95">
        <f>PROCESSING!B48</f>
        <v>0</v>
      </c>
      <c r="C58" s="96">
        <f>PROCESSING!C48</f>
        <v>0</v>
      </c>
      <c r="D58" s="97">
        <f>PROCESSING!D48</f>
        <v>0</v>
      </c>
      <c r="E58" s="121">
        <f>PROCESSING!E48</f>
        <v>0</v>
      </c>
      <c r="F58" s="98" t="str">
        <f>PROCESSING!AJ48</f>
        <v>-</v>
      </c>
      <c r="G58" s="99" t="str">
        <f>IFERROR(RANK(Table2[[#This Row],[GPA]],[GPA],0)+COUNTIF(Table2[[#This Row],[GPA]],Table2[[#This Row],[GPA]])-1,"*")</f>
        <v>*</v>
      </c>
    </row>
    <row r="59" spans="2:7" ht="15.5">
      <c r="B59" s="95">
        <f>PROCESSING!B49</f>
        <v>0</v>
      </c>
      <c r="C59" s="96">
        <f>PROCESSING!C49</f>
        <v>0</v>
      </c>
      <c r="D59" s="97">
        <f>PROCESSING!D49</f>
        <v>0</v>
      </c>
      <c r="E59" s="121">
        <f>PROCESSING!E49</f>
        <v>0</v>
      </c>
      <c r="F59" s="98" t="str">
        <f>PROCESSING!AJ49</f>
        <v>-</v>
      </c>
      <c r="G59" s="99" t="str">
        <f>IFERROR(RANK(Table2[[#This Row],[GPA]],[GPA],0)+COUNTIF(Table2[[#This Row],[GPA]],Table2[[#This Row],[GPA]])-1,"*")</f>
        <v>*</v>
      </c>
    </row>
    <row r="60" spans="2:7" ht="15.5">
      <c r="B60" s="95">
        <f>PROCESSING!B50</f>
        <v>0</v>
      </c>
      <c r="C60" s="96">
        <f>PROCESSING!C50</f>
        <v>0</v>
      </c>
      <c r="D60" s="97">
        <f>PROCESSING!D50</f>
        <v>0</v>
      </c>
      <c r="E60" s="121">
        <f>PROCESSING!E50</f>
        <v>0</v>
      </c>
      <c r="F60" s="98" t="str">
        <f>PROCESSING!AJ50</f>
        <v>-</v>
      </c>
      <c r="G60" s="99" t="str">
        <f>IFERROR(RANK(Table2[[#This Row],[GPA]],[GPA],0)+COUNTIF(Table2[[#This Row],[GPA]],Table2[[#This Row],[GPA]])-1,"*")</f>
        <v>*</v>
      </c>
    </row>
    <row r="61" spans="2:7" ht="15.5">
      <c r="B61" s="95">
        <f>PROCESSING!B51</f>
        <v>0</v>
      </c>
      <c r="C61" s="96">
        <f>PROCESSING!C51</f>
        <v>0</v>
      </c>
      <c r="D61" s="97">
        <f>PROCESSING!D51</f>
        <v>0</v>
      </c>
      <c r="E61" s="121">
        <f>PROCESSING!E51</f>
        <v>0</v>
      </c>
      <c r="F61" s="98" t="str">
        <f>PROCESSING!AJ51</f>
        <v>-</v>
      </c>
      <c r="G61" s="99" t="str">
        <f>IFERROR(RANK(Table2[[#This Row],[GPA]],[GPA],0)+COUNTIF(Table2[[#This Row],[GPA]],Table2[[#This Row],[GPA]])-1,"*")</f>
        <v>*</v>
      </c>
    </row>
    <row r="62" spans="2:7" ht="15.5">
      <c r="B62" s="95">
        <f>PROCESSING!B52</f>
        <v>0</v>
      </c>
      <c r="C62" s="96">
        <f>PROCESSING!C52</f>
        <v>0</v>
      </c>
      <c r="D62" s="97">
        <f>PROCESSING!D52</f>
        <v>0</v>
      </c>
      <c r="E62" s="121">
        <f>PROCESSING!E52</f>
        <v>0</v>
      </c>
      <c r="F62" s="98" t="str">
        <f>PROCESSING!AJ52</f>
        <v>-</v>
      </c>
      <c r="G62" s="99" t="str">
        <f>IFERROR(RANK(Table2[[#This Row],[GPA]],[GPA],0)+COUNTIF(Table2[[#This Row],[GPA]],Table2[[#This Row],[GPA]])-1,"*")</f>
        <v>*</v>
      </c>
    </row>
    <row r="63" spans="2:7" ht="15.5">
      <c r="B63" s="95">
        <f>PROCESSING!B53</f>
        <v>0</v>
      </c>
      <c r="C63" s="96">
        <f>PROCESSING!C53</f>
        <v>0</v>
      </c>
      <c r="D63" s="97">
        <f>PROCESSING!D53</f>
        <v>0</v>
      </c>
      <c r="E63" s="121">
        <f>PROCESSING!E53</f>
        <v>0</v>
      </c>
      <c r="F63" s="98" t="str">
        <f>PROCESSING!AJ53</f>
        <v>-</v>
      </c>
      <c r="G63" s="99" t="str">
        <f>IFERROR(RANK(Table2[[#This Row],[GPA]],[GPA],0)+COUNTIF(Table2[[#This Row],[GPA]],Table2[[#This Row],[GPA]])-1,"*")</f>
        <v>*</v>
      </c>
    </row>
    <row r="64" spans="2:7" ht="15.5">
      <c r="B64" s="95">
        <f>PROCESSING!B54</f>
        <v>0</v>
      </c>
      <c r="C64" s="96">
        <f>PROCESSING!C54</f>
        <v>0</v>
      </c>
      <c r="D64" s="97">
        <f>PROCESSING!D54</f>
        <v>0</v>
      </c>
      <c r="E64" s="121">
        <f>PROCESSING!E54</f>
        <v>0</v>
      </c>
      <c r="F64" s="98" t="str">
        <f>PROCESSING!AJ54</f>
        <v>-</v>
      </c>
      <c r="G64" s="99" t="str">
        <f>IFERROR(RANK(Table2[[#This Row],[GPA]],[GPA],0)+COUNTIF(Table2[[#This Row],[GPA]],Table2[[#This Row],[GPA]])-1,"*")</f>
        <v>*</v>
      </c>
    </row>
    <row r="65" spans="2:7" ht="15.5">
      <c r="B65" s="95">
        <f>PROCESSING!B55</f>
        <v>0</v>
      </c>
      <c r="C65" s="96">
        <f>PROCESSING!C55</f>
        <v>0</v>
      </c>
      <c r="D65" s="97">
        <f>PROCESSING!D55</f>
        <v>0</v>
      </c>
      <c r="E65" s="121">
        <f>PROCESSING!E55</f>
        <v>0</v>
      </c>
      <c r="F65" s="98" t="str">
        <f>PROCESSING!AJ55</f>
        <v>-</v>
      </c>
      <c r="G65" s="99" t="str">
        <f>IFERROR(RANK(Table2[[#This Row],[GPA]],[GPA],0)+COUNTIF(Table2[[#This Row],[GPA]],Table2[[#This Row],[GPA]])-1,"*")</f>
        <v>*</v>
      </c>
    </row>
    <row r="66" spans="2:7" ht="15.5">
      <c r="B66" s="95">
        <f>PROCESSING!B56</f>
        <v>0</v>
      </c>
      <c r="C66" s="96">
        <f>PROCESSING!C56</f>
        <v>0</v>
      </c>
      <c r="D66" s="97">
        <f>PROCESSING!D56</f>
        <v>0</v>
      </c>
      <c r="E66" s="121">
        <f>PROCESSING!E56</f>
        <v>0</v>
      </c>
      <c r="F66" s="98" t="str">
        <f>PROCESSING!AJ56</f>
        <v>-</v>
      </c>
      <c r="G66" s="99" t="str">
        <f>IFERROR(RANK(Table2[[#This Row],[GPA]],[GPA],0)+COUNTIF(Table2[[#This Row],[GPA]],Table2[[#This Row],[GPA]])-1,"*")</f>
        <v>*</v>
      </c>
    </row>
    <row r="67" spans="2:7" ht="15.5">
      <c r="B67" s="95">
        <f>PROCESSING!B57</f>
        <v>0</v>
      </c>
      <c r="C67" s="96">
        <f>PROCESSING!C57</f>
        <v>0</v>
      </c>
      <c r="D67" s="97">
        <f>PROCESSING!D57</f>
        <v>0</v>
      </c>
      <c r="E67" s="121">
        <f>PROCESSING!E57</f>
        <v>0</v>
      </c>
      <c r="F67" s="98" t="str">
        <f>PROCESSING!AJ57</f>
        <v>-</v>
      </c>
      <c r="G67" s="99" t="str">
        <f>IFERROR(RANK(Table2[[#This Row],[GPA]],[GPA],0)+COUNTIF(Table2[[#This Row],[GPA]],Table2[[#This Row],[GPA]])-1,"*")</f>
        <v>*</v>
      </c>
    </row>
    <row r="68" spans="2:7" ht="15.5">
      <c r="B68" s="95">
        <f>PROCESSING!B58</f>
        <v>0</v>
      </c>
      <c r="C68" s="96">
        <f>PROCESSING!C58</f>
        <v>0</v>
      </c>
      <c r="D68" s="97">
        <f>PROCESSING!D58</f>
        <v>0</v>
      </c>
      <c r="E68" s="121">
        <f>PROCESSING!E58</f>
        <v>0</v>
      </c>
      <c r="F68" s="98" t="str">
        <f>PROCESSING!AJ58</f>
        <v>-</v>
      </c>
      <c r="G68" s="99" t="str">
        <f>IFERROR(RANK(Table2[[#This Row],[GPA]],[GPA],0)+COUNTIF(Table2[[#This Row],[GPA]],Table2[[#This Row],[GPA]])-1,"*")</f>
        <v>*</v>
      </c>
    </row>
    <row r="69" spans="2:7" ht="15.5">
      <c r="B69" s="95">
        <f>PROCESSING!B59</f>
        <v>0</v>
      </c>
      <c r="C69" s="96">
        <f>PROCESSING!C59</f>
        <v>0</v>
      </c>
      <c r="D69" s="97">
        <f>PROCESSING!D59</f>
        <v>0</v>
      </c>
      <c r="E69" s="121">
        <f>PROCESSING!E59</f>
        <v>0</v>
      </c>
      <c r="F69" s="98" t="str">
        <f>PROCESSING!AJ59</f>
        <v>-</v>
      </c>
      <c r="G69" s="99" t="str">
        <f>IFERROR(RANK(Table2[[#This Row],[GPA]],[GPA],0)+COUNTIF(Table2[[#This Row],[GPA]],Table2[[#This Row],[GPA]])-1,"*")</f>
        <v>*</v>
      </c>
    </row>
    <row r="70" spans="2:7" ht="15.5">
      <c r="B70" s="95">
        <f>PROCESSING!B60</f>
        <v>0</v>
      </c>
      <c r="C70" s="96">
        <f>PROCESSING!C60</f>
        <v>0</v>
      </c>
      <c r="D70" s="97">
        <f>PROCESSING!D60</f>
        <v>0</v>
      </c>
      <c r="E70" s="121">
        <f>PROCESSING!E60</f>
        <v>0</v>
      </c>
      <c r="F70" s="98" t="str">
        <f>PROCESSING!AJ60</f>
        <v>-</v>
      </c>
      <c r="G70" s="99" t="str">
        <f>IFERROR(RANK(Table2[[#This Row],[GPA]],[GPA],0)+COUNTIF(Table2[[#This Row],[GPA]],Table2[[#This Row],[GPA]])-1,"*")</f>
        <v>*</v>
      </c>
    </row>
    <row r="71" spans="2:7" ht="15.5">
      <c r="B71" s="95">
        <f>PROCESSING!B61</f>
        <v>0</v>
      </c>
      <c r="C71" s="96">
        <f>PROCESSING!C61</f>
        <v>0</v>
      </c>
      <c r="D71" s="97">
        <f>PROCESSING!D61</f>
        <v>0</v>
      </c>
      <c r="E71" s="121">
        <f>PROCESSING!E61</f>
        <v>0</v>
      </c>
      <c r="F71" s="98" t="str">
        <f>PROCESSING!AJ61</f>
        <v>-</v>
      </c>
      <c r="G71" s="99" t="str">
        <f>IFERROR(RANK(Table2[[#This Row],[GPA]],[GPA],0)+COUNTIF(Table2[[#This Row],[GPA]],Table2[[#This Row],[GPA]])-1,"*")</f>
        <v>*</v>
      </c>
    </row>
    <row r="72" spans="2:7" ht="15.5">
      <c r="B72" s="95">
        <f>PROCESSING!B62</f>
        <v>0</v>
      </c>
      <c r="C72" s="96">
        <f>PROCESSING!C62</f>
        <v>0</v>
      </c>
      <c r="D72" s="97">
        <f>PROCESSING!D62</f>
        <v>0</v>
      </c>
      <c r="E72" s="121">
        <f>PROCESSING!E62</f>
        <v>0</v>
      </c>
      <c r="F72" s="98" t="str">
        <f>PROCESSING!AJ62</f>
        <v>-</v>
      </c>
      <c r="G72" s="99" t="str">
        <f>IFERROR(RANK(Table2[[#This Row],[GPA]],[GPA],0)+COUNTIF(Table2[[#This Row],[GPA]],Table2[[#This Row],[GPA]])-1,"*")</f>
        <v>*</v>
      </c>
    </row>
    <row r="73" spans="2:7" ht="15.5">
      <c r="B73" s="95">
        <f>PROCESSING!B63</f>
        <v>0</v>
      </c>
      <c r="C73" s="96">
        <f>PROCESSING!C63</f>
        <v>0</v>
      </c>
      <c r="D73" s="97">
        <f>PROCESSING!D63</f>
        <v>0</v>
      </c>
      <c r="E73" s="121">
        <f>PROCESSING!E63</f>
        <v>0</v>
      </c>
      <c r="F73" s="98" t="str">
        <f>PROCESSING!AJ63</f>
        <v>-</v>
      </c>
      <c r="G73" s="99" t="str">
        <f>IFERROR(RANK(Table2[[#This Row],[GPA]],[GPA],0)+COUNTIF(Table2[[#This Row],[GPA]],Table2[[#This Row],[GPA]])-1,"*")</f>
        <v>*</v>
      </c>
    </row>
    <row r="74" spans="2:7" ht="15.5">
      <c r="B74" s="95">
        <f>PROCESSING!B64</f>
        <v>0</v>
      </c>
      <c r="C74" s="96">
        <f>PROCESSING!C64</f>
        <v>0</v>
      </c>
      <c r="D74" s="97">
        <f>PROCESSING!D64</f>
        <v>0</v>
      </c>
      <c r="E74" s="121">
        <f>PROCESSING!E64</f>
        <v>0</v>
      </c>
      <c r="F74" s="98" t="str">
        <f>PROCESSING!AJ64</f>
        <v>-</v>
      </c>
      <c r="G74" s="99" t="str">
        <f>IFERROR(RANK(Table2[[#This Row],[GPA]],[GPA],0)+COUNTIF(Table2[[#This Row],[GPA]],Table2[[#This Row],[GPA]])-1,"*")</f>
        <v>*</v>
      </c>
    </row>
    <row r="75" spans="2:7" ht="15.5">
      <c r="B75" s="95">
        <f>PROCESSING!B65</f>
        <v>0</v>
      </c>
      <c r="C75" s="96">
        <f>PROCESSING!C65</f>
        <v>0</v>
      </c>
      <c r="D75" s="97">
        <f>PROCESSING!D65</f>
        <v>0</v>
      </c>
      <c r="E75" s="121">
        <f>PROCESSING!E65</f>
        <v>0</v>
      </c>
      <c r="F75" s="98" t="str">
        <f>PROCESSING!AJ65</f>
        <v>-</v>
      </c>
      <c r="G75" s="99" t="str">
        <f>IFERROR(RANK(Table2[[#This Row],[GPA]],[GPA],0)+COUNTIF(Table2[[#This Row],[GPA]],Table2[[#This Row],[GPA]])-1,"*")</f>
        <v>*</v>
      </c>
    </row>
    <row r="76" spans="2:7" ht="15.5">
      <c r="B76" s="95">
        <f>PROCESSING!B66</f>
        <v>0</v>
      </c>
      <c r="C76" s="96">
        <f>PROCESSING!C66</f>
        <v>0</v>
      </c>
      <c r="D76" s="97">
        <f>PROCESSING!D66</f>
        <v>0</v>
      </c>
      <c r="E76" s="121">
        <f>PROCESSING!E66</f>
        <v>0</v>
      </c>
      <c r="F76" s="98" t="str">
        <f>PROCESSING!AJ66</f>
        <v>-</v>
      </c>
      <c r="G76" s="99" t="str">
        <f>IFERROR(RANK(Table2[[#This Row],[GPA]],[GPA],0)+COUNTIF(Table2[[#This Row],[GPA]],Table2[[#This Row],[GPA]])-1,"*")</f>
        <v>*</v>
      </c>
    </row>
    <row r="77" spans="2:7" ht="15.5">
      <c r="B77" s="95">
        <f>PROCESSING!B67</f>
        <v>0</v>
      </c>
      <c r="C77" s="96">
        <f>PROCESSING!C67</f>
        <v>0</v>
      </c>
      <c r="D77" s="97">
        <f>PROCESSING!D67</f>
        <v>0</v>
      </c>
      <c r="E77" s="121">
        <f>PROCESSING!E67</f>
        <v>0</v>
      </c>
      <c r="F77" s="98" t="str">
        <f>PROCESSING!AJ67</f>
        <v>-</v>
      </c>
      <c r="G77" s="99" t="str">
        <f>IFERROR(RANK(Table2[[#This Row],[GPA]],[GPA],0)+COUNTIF(Table2[[#This Row],[GPA]],Table2[[#This Row],[GPA]])-1,"*")</f>
        <v>*</v>
      </c>
    </row>
    <row r="78" spans="2:7" ht="15.5">
      <c r="B78" s="95">
        <f>PROCESSING!B68</f>
        <v>0</v>
      </c>
      <c r="C78" s="96">
        <f>PROCESSING!C68</f>
        <v>0</v>
      </c>
      <c r="D78" s="97">
        <f>PROCESSING!D68</f>
        <v>0</v>
      </c>
      <c r="E78" s="121">
        <f>PROCESSING!E68</f>
        <v>0</v>
      </c>
      <c r="F78" s="98" t="str">
        <f>PROCESSING!AJ68</f>
        <v>-</v>
      </c>
      <c r="G78" s="99" t="str">
        <f>IFERROR(RANK(Table2[[#This Row],[GPA]],[GPA],0)+COUNTIF(Table2[[#This Row],[GPA]],Table2[[#This Row],[GPA]])-1,"*")</f>
        <v>*</v>
      </c>
    </row>
    <row r="79" spans="2:7" ht="15.5">
      <c r="B79" s="95">
        <f>PROCESSING!B69</f>
        <v>0</v>
      </c>
      <c r="C79" s="96">
        <f>PROCESSING!C69</f>
        <v>0</v>
      </c>
      <c r="D79" s="97">
        <f>PROCESSING!D69</f>
        <v>0</v>
      </c>
      <c r="E79" s="121">
        <f>PROCESSING!E69</f>
        <v>0</v>
      </c>
      <c r="F79" s="98" t="str">
        <f>PROCESSING!AJ69</f>
        <v>-</v>
      </c>
      <c r="G79" s="99" t="str">
        <f>IFERROR(RANK(Table2[[#This Row],[GPA]],[GPA],0)+COUNTIF(Table2[[#This Row],[GPA]],Table2[[#This Row],[GPA]])-1,"*")</f>
        <v>*</v>
      </c>
    </row>
    <row r="80" spans="2:7" ht="15.5">
      <c r="B80" s="95">
        <f>PROCESSING!B70</f>
        <v>0</v>
      </c>
      <c r="C80" s="96">
        <f>PROCESSING!C70</f>
        <v>0</v>
      </c>
      <c r="D80" s="97">
        <f>PROCESSING!D70</f>
        <v>0</v>
      </c>
      <c r="E80" s="121">
        <f>PROCESSING!E70</f>
        <v>0</v>
      </c>
      <c r="F80" s="98" t="str">
        <f>PROCESSING!AJ70</f>
        <v>-</v>
      </c>
      <c r="G80" s="99" t="str">
        <f>IFERROR(RANK(Table2[[#This Row],[GPA]],[GPA],0)+COUNTIF(Table2[[#This Row],[GPA]],Table2[[#This Row],[GPA]])-1,"*")</f>
        <v>*</v>
      </c>
    </row>
    <row r="81" spans="2:7" ht="15.5">
      <c r="B81" s="95">
        <f>PROCESSING!B71</f>
        <v>0</v>
      </c>
      <c r="C81" s="96">
        <f>PROCESSING!C71</f>
        <v>0</v>
      </c>
      <c r="D81" s="97">
        <f>PROCESSING!D71</f>
        <v>0</v>
      </c>
      <c r="E81" s="121">
        <f>PROCESSING!E71</f>
        <v>0</v>
      </c>
      <c r="F81" s="98" t="str">
        <f>PROCESSING!AJ71</f>
        <v>-</v>
      </c>
      <c r="G81" s="99" t="str">
        <f>IFERROR(RANK(Table2[[#This Row],[GPA]],[GPA],0)+COUNTIF(Table2[[#This Row],[GPA]],Table2[[#This Row],[GPA]])-1,"*")</f>
        <v>*</v>
      </c>
    </row>
    <row r="82" spans="2:7" ht="15.5">
      <c r="B82" s="95">
        <f>PROCESSING!B72</f>
        <v>0</v>
      </c>
      <c r="C82" s="96">
        <f>PROCESSING!C72</f>
        <v>0</v>
      </c>
      <c r="D82" s="97">
        <f>PROCESSING!D72</f>
        <v>0</v>
      </c>
      <c r="E82" s="121">
        <f>PROCESSING!E72</f>
        <v>0</v>
      </c>
      <c r="F82" s="98" t="str">
        <f>PROCESSING!AJ72</f>
        <v>-</v>
      </c>
      <c r="G82" s="99" t="str">
        <f>IFERROR(RANK(Table2[[#This Row],[GPA]],[GPA],0)+COUNTIF(Table2[[#This Row],[GPA]],Table2[[#This Row],[GPA]])-1,"*")</f>
        <v>*</v>
      </c>
    </row>
    <row r="83" spans="2:7" ht="15.5">
      <c r="B83" s="95">
        <f>PROCESSING!B73</f>
        <v>0</v>
      </c>
      <c r="C83" s="96">
        <f>PROCESSING!C73</f>
        <v>0</v>
      </c>
      <c r="D83" s="97">
        <f>PROCESSING!D73</f>
        <v>0</v>
      </c>
      <c r="E83" s="121">
        <f>PROCESSING!E73</f>
        <v>0</v>
      </c>
      <c r="F83" s="98" t="str">
        <f>PROCESSING!AJ73</f>
        <v>-</v>
      </c>
      <c r="G83" s="99" t="str">
        <f>IFERROR(RANK(Table2[[#This Row],[GPA]],[GPA],0)+COUNTIF(Table2[[#This Row],[GPA]],Table2[[#This Row],[GPA]])-1,"*")</f>
        <v>*</v>
      </c>
    </row>
    <row r="84" spans="2:7" ht="15.5">
      <c r="B84" s="95">
        <f>PROCESSING!B74</f>
        <v>0</v>
      </c>
      <c r="C84" s="96">
        <f>PROCESSING!C74</f>
        <v>0</v>
      </c>
      <c r="D84" s="97">
        <f>PROCESSING!D74</f>
        <v>0</v>
      </c>
      <c r="E84" s="121">
        <f>PROCESSING!E74</f>
        <v>0</v>
      </c>
      <c r="F84" s="98" t="str">
        <f>PROCESSING!AJ74</f>
        <v>-</v>
      </c>
      <c r="G84" s="99" t="str">
        <f>IFERROR(RANK(Table2[[#This Row],[GPA]],[GPA],0)+COUNTIF(Table2[[#This Row],[GPA]],Table2[[#This Row],[GPA]])-1,"*")</f>
        <v>*</v>
      </c>
    </row>
    <row r="85" spans="2:7" ht="15.5">
      <c r="B85" s="95">
        <f>PROCESSING!B75</f>
        <v>0</v>
      </c>
      <c r="C85" s="96">
        <f>PROCESSING!C75</f>
        <v>0</v>
      </c>
      <c r="D85" s="97">
        <f>PROCESSING!D75</f>
        <v>0</v>
      </c>
      <c r="E85" s="121">
        <f>PROCESSING!E75</f>
        <v>0</v>
      </c>
      <c r="F85" s="98" t="str">
        <f>PROCESSING!AJ75</f>
        <v>-</v>
      </c>
      <c r="G85" s="99" t="str">
        <f>IFERROR(RANK(Table2[[#This Row],[GPA]],[GPA],0)+COUNTIF(Table2[[#This Row],[GPA]],Table2[[#This Row],[GPA]])-1,"*")</f>
        <v>*</v>
      </c>
    </row>
    <row r="86" spans="2:7" ht="15.5">
      <c r="B86" s="95">
        <f>PROCESSING!B76</f>
        <v>0</v>
      </c>
      <c r="C86" s="96">
        <f>PROCESSING!C76</f>
        <v>0</v>
      </c>
      <c r="D86" s="97">
        <f>PROCESSING!D76</f>
        <v>0</v>
      </c>
      <c r="E86" s="121">
        <f>PROCESSING!E76</f>
        <v>0</v>
      </c>
      <c r="F86" s="98" t="str">
        <f>PROCESSING!AJ76</f>
        <v>-</v>
      </c>
      <c r="G86" s="99" t="str">
        <f>IFERROR(RANK(Table2[[#This Row],[GPA]],[GPA],0)+COUNTIF(Table2[[#This Row],[GPA]],Table2[[#This Row],[GPA]])-1,"*")</f>
        <v>*</v>
      </c>
    </row>
    <row r="87" spans="2:7" ht="15.5">
      <c r="B87" s="95">
        <f>PROCESSING!B77</f>
        <v>0</v>
      </c>
      <c r="C87" s="96">
        <f>PROCESSING!C77</f>
        <v>0</v>
      </c>
      <c r="D87" s="97">
        <f>PROCESSING!D77</f>
        <v>0</v>
      </c>
      <c r="E87" s="121">
        <f>PROCESSING!E77</f>
        <v>0</v>
      </c>
      <c r="F87" s="98" t="str">
        <f>PROCESSING!AJ77</f>
        <v>-</v>
      </c>
      <c r="G87" s="99" t="str">
        <f>IFERROR(RANK(Table2[[#This Row],[GPA]],[GPA],0)+COUNTIF(Table2[[#This Row],[GPA]],Table2[[#This Row],[GPA]])-1,"*")</f>
        <v>*</v>
      </c>
    </row>
    <row r="88" spans="2:7" ht="15.5">
      <c r="B88" s="95">
        <f>PROCESSING!B78</f>
        <v>0</v>
      </c>
      <c r="C88" s="96">
        <f>PROCESSING!C78</f>
        <v>0</v>
      </c>
      <c r="D88" s="97">
        <f>PROCESSING!D78</f>
        <v>0</v>
      </c>
      <c r="E88" s="121">
        <f>PROCESSING!E78</f>
        <v>0</v>
      </c>
      <c r="F88" s="98" t="str">
        <f>PROCESSING!AJ78</f>
        <v>-</v>
      </c>
      <c r="G88" s="99" t="str">
        <f>IFERROR(RANK(Table2[[#This Row],[GPA]],[GPA],0)+COUNTIF(Table2[[#This Row],[GPA]],Table2[[#This Row],[GPA]])-1,"*")</f>
        <v>*</v>
      </c>
    </row>
    <row r="89" spans="2:7" ht="15.5">
      <c r="B89" s="95">
        <f>PROCESSING!B79</f>
        <v>0</v>
      </c>
      <c r="C89" s="96">
        <f>PROCESSING!C79</f>
        <v>0</v>
      </c>
      <c r="D89" s="97">
        <f>PROCESSING!D79</f>
        <v>0</v>
      </c>
      <c r="E89" s="121">
        <f>PROCESSING!E79</f>
        <v>0</v>
      </c>
      <c r="F89" s="98" t="str">
        <f>PROCESSING!AJ79</f>
        <v>-</v>
      </c>
      <c r="G89" s="99" t="str">
        <f>IFERROR(RANK(Table2[[#This Row],[GPA]],[GPA],0)+COUNTIF(Table2[[#This Row],[GPA]],Table2[[#This Row],[GPA]])-1,"*")</f>
        <v>*</v>
      </c>
    </row>
    <row r="90" spans="2:7" ht="15.5">
      <c r="B90" s="95">
        <f>PROCESSING!B80</f>
        <v>0</v>
      </c>
      <c r="C90" s="96">
        <f>PROCESSING!C80</f>
        <v>0</v>
      </c>
      <c r="D90" s="97">
        <f>PROCESSING!D80</f>
        <v>0</v>
      </c>
      <c r="E90" s="121">
        <f>PROCESSING!E80</f>
        <v>0</v>
      </c>
      <c r="F90" s="98" t="str">
        <f>PROCESSING!AJ80</f>
        <v>-</v>
      </c>
      <c r="G90" s="99" t="str">
        <f>IFERROR(RANK(Table2[[#This Row],[GPA]],[GPA],0)+COUNTIF(Table2[[#This Row],[GPA]],Table2[[#This Row],[GPA]])-1,"*")</f>
        <v>*</v>
      </c>
    </row>
    <row r="91" spans="2:7" ht="15.5">
      <c r="B91" s="95">
        <f>PROCESSING!B81</f>
        <v>0</v>
      </c>
      <c r="C91" s="96">
        <f>PROCESSING!C81</f>
        <v>0</v>
      </c>
      <c r="D91" s="97">
        <f>PROCESSING!D81</f>
        <v>0</v>
      </c>
      <c r="E91" s="121">
        <f>PROCESSING!E81</f>
        <v>0</v>
      </c>
      <c r="F91" s="98" t="str">
        <f>PROCESSING!AJ81</f>
        <v>-</v>
      </c>
      <c r="G91" s="99" t="str">
        <f>IFERROR(RANK(Table2[[#This Row],[GPA]],[GPA],0)+COUNTIF(Table2[[#This Row],[GPA]],Table2[[#This Row],[GPA]])-1,"*")</f>
        <v>*</v>
      </c>
    </row>
    <row r="92" spans="2:7" ht="15.5">
      <c r="B92" s="95">
        <f>PROCESSING!B82</f>
        <v>0</v>
      </c>
      <c r="C92" s="96">
        <f>PROCESSING!C82</f>
        <v>0</v>
      </c>
      <c r="D92" s="97">
        <f>PROCESSING!D82</f>
        <v>0</v>
      </c>
      <c r="E92" s="121">
        <f>PROCESSING!E82</f>
        <v>0</v>
      </c>
      <c r="F92" s="98" t="str">
        <f>PROCESSING!AJ82</f>
        <v>-</v>
      </c>
      <c r="G92" s="99" t="str">
        <f>IFERROR(RANK(Table2[[#This Row],[GPA]],[GPA],0)+COUNTIF(Table2[[#This Row],[GPA]],Table2[[#This Row],[GPA]])-1,"*")</f>
        <v>*</v>
      </c>
    </row>
    <row r="93" spans="2:7" ht="15.5">
      <c r="B93" s="95">
        <f>PROCESSING!B83</f>
        <v>0</v>
      </c>
      <c r="C93" s="96">
        <f>PROCESSING!C83</f>
        <v>0</v>
      </c>
      <c r="D93" s="97">
        <f>PROCESSING!D83</f>
        <v>0</v>
      </c>
      <c r="E93" s="121">
        <f>PROCESSING!E83</f>
        <v>0</v>
      </c>
      <c r="F93" s="98" t="str">
        <f>PROCESSING!AJ83</f>
        <v>-</v>
      </c>
      <c r="G93" s="99" t="str">
        <f>IFERROR(RANK(Table2[[#This Row],[GPA]],[GPA],0)+COUNTIF(Table2[[#This Row],[GPA]],Table2[[#This Row],[GPA]])-1,"*")</f>
        <v>*</v>
      </c>
    </row>
    <row r="94" spans="2:7" ht="15.5">
      <c r="B94" s="95">
        <f>PROCESSING!B84</f>
        <v>0</v>
      </c>
      <c r="C94" s="96">
        <f>PROCESSING!C84</f>
        <v>0</v>
      </c>
      <c r="D94" s="97">
        <f>PROCESSING!D84</f>
        <v>0</v>
      </c>
      <c r="E94" s="121">
        <f>PROCESSING!E84</f>
        <v>0</v>
      </c>
      <c r="F94" s="98" t="str">
        <f>PROCESSING!AJ84</f>
        <v>-</v>
      </c>
      <c r="G94" s="99" t="str">
        <f>IFERROR(RANK(Table2[[#This Row],[GPA]],[GPA],0)+COUNTIF(Table2[[#This Row],[GPA]],Table2[[#This Row],[GPA]])-1,"*")</f>
        <v>*</v>
      </c>
    </row>
    <row r="95" spans="2:7" ht="15.5">
      <c r="B95" s="95">
        <f>PROCESSING!B85</f>
        <v>0</v>
      </c>
      <c r="C95" s="96">
        <f>PROCESSING!C85</f>
        <v>0</v>
      </c>
      <c r="D95" s="97">
        <f>PROCESSING!D85</f>
        <v>0</v>
      </c>
      <c r="E95" s="121">
        <f>PROCESSING!E85</f>
        <v>0</v>
      </c>
      <c r="F95" s="98" t="str">
        <f>PROCESSING!AJ85</f>
        <v>-</v>
      </c>
      <c r="G95" s="99" t="str">
        <f>IFERROR(RANK(Table2[[#This Row],[GPA]],[GPA],0)+COUNTIF(Table2[[#This Row],[GPA]],Table2[[#This Row],[GPA]])-1,"*")</f>
        <v>*</v>
      </c>
    </row>
    <row r="96" spans="2:7" ht="15.5">
      <c r="B96" s="95">
        <f>PROCESSING!B86</f>
        <v>0</v>
      </c>
      <c r="C96" s="96">
        <f>PROCESSING!C86</f>
        <v>0</v>
      </c>
      <c r="D96" s="97">
        <f>PROCESSING!D86</f>
        <v>0</v>
      </c>
      <c r="E96" s="121">
        <f>PROCESSING!E86</f>
        <v>0</v>
      </c>
      <c r="F96" s="98" t="str">
        <f>PROCESSING!AJ86</f>
        <v>-</v>
      </c>
      <c r="G96" s="99" t="str">
        <f>IFERROR(RANK(Table2[[#This Row],[GPA]],[GPA],0)+COUNTIF(Table2[[#This Row],[GPA]],Table2[[#This Row],[GPA]])-1,"*")</f>
        <v>*</v>
      </c>
    </row>
    <row r="97" spans="2:7" ht="15.5">
      <c r="B97" s="95">
        <f>PROCESSING!B87</f>
        <v>0</v>
      </c>
      <c r="C97" s="96">
        <f>PROCESSING!C87</f>
        <v>0</v>
      </c>
      <c r="D97" s="97">
        <f>PROCESSING!D87</f>
        <v>0</v>
      </c>
      <c r="E97" s="121">
        <f>PROCESSING!E87</f>
        <v>0</v>
      </c>
      <c r="F97" s="98" t="str">
        <f>PROCESSING!AJ87</f>
        <v>-</v>
      </c>
      <c r="G97" s="99" t="str">
        <f>IFERROR(RANK(Table2[[#This Row],[GPA]],[GPA],0)+COUNTIF(Table2[[#This Row],[GPA]],Table2[[#This Row],[GPA]])-1,"*")</f>
        <v>*</v>
      </c>
    </row>
    <row r="98" spans="2:7" ht="15.5">
      <c r="B98" s="95">
        <f>PROCESSING!B88</f>
        <v>0</v>
      </c>
      <c r="C98" s="96">
        <f>PROCESSING!C88</f>
        <v>0</v>
      </c>
      <c r="D98" s="97">
        <f>PROCESSING!D88</f>
        <v>0</v>
      </c>
      <c r="E98" s="121">
        <f>PROCESSING!E88</f>
        <v>0</v>
      </c>
      <c r="F98" s="98" t="str">
        <f>PROCESSING!AJ88</f>
        <v>-</v>
      </c>
      <c r="G98" s="99" t="str">
        <f>IFERROR(RANK(Table2[[#This Row],[GPA]],[GPA],0)+COUNTIF(Table2[[#This Row],[GPA]],Table2[[#This Row],[GPA]])-1,"*")</f>
        <v>*</v>
      </c>
    </row>
    <row r="99" spans="2:7" ht="15.5">
      <c r="B99" s="95">
        <f>PROCESSING!B89</f>
        <v>0</v>
      </c>
      <c r="C99" s="96">
        <f>PROCESSING!C89</f>
        <v>0</v>
      </c>
      <c r="D99" s="97">
        <f>PROCESSING!D89</f>
        <v>0</v>
      </c>
      <c r="E99" s="121">
        <f>PROCESSING!E89</f>
        <v>0</v>
      </c>
      <c r="F99" s="98" t="str">
        <f>PROCESSING!AJ89</f>
        <v>-</v>
      </c>
      <c r="G99" s="99" t="str">
        <f>IFERROR(RANK(Table2[[#This Row],[GPA]],[GPA],0)+COUNTIF(Table2[[#This Row],[GPA]],Table2[[#This Row],[GPA]])-1,"*")</f>
        <v>*</v>
      </c>
    </row>
    <row r="100" spans="2:7" ht="15.5">
      <c r="B100" s="95">
        <f>PROCESSING!B90</f>
        <v>0</v>
      </c>
      <c r="C100" s="96">
        <f>PROCESSING!C90</f>
        <v>0</v>
      </c>
      <c r="D100" s="97">
        <f>PROCESSING!D90</f>
        <v>0</v>
      </c>
      <c r="E100" s="121">
        <f>PROCESSING!E90</f>
        <v>0</v>
      </c>
      <c r="F100" s="98" t="str">
        <f>PROCESSING!AJ90</f>
        <v>-</v>
      </c>
      <c r="G100" s="99" t="str">
        <f>IFERROR(RANK(Table2[[#This Row],[GPA]],[GPA],0)+COUNTIF(Table2[[#This Row],[GPA]],Table2[[#This Row],[GPA]])-1,"*")</f>
        <v>*</v>
      </c>
    </row>
    <row r="101" spans="2:7" ht="15.5">
      <c r="B101" s="95">
        <f>PROCESSING!B91</f>
        <v>0</v>
      </c>
      <c r="C101" s="96">
        <f>PROCESSING!C91</f>
        <v>0</v>
      </c>
      <c r="D101" s="97">
        <f>PROCESSING!D91</f>
        <v>0</v>
      </c>
      <c r="E101" s="121">
        <f>PROCESSING!E91</f>
        <v>0</v>
      </c>
      <c r="F101" s="98" t="str">
        <f>PROCESSING!AJ91</f>
        <v>-</v>
      </c>
      <c r="G101" s="99" t="str">
        <f>IFERROR(RANK(Table2[[#This Row],[GPA]],[GPA],0)+COUNTIF(Table2[[#This Row],[GPA]],Table2[[#This Row],[GPA]])-1,"*")</f>
        <v>*</v>
      </c>
    </row>
    <row r="102" spans="2:7" ht="15.5">
      <c r="B102" s="95">
        <f>PROCESSING!B92</f>
        <v>0</v>
      </c>
      <c r="C102" s="96">
        <f>PROCESSING!C92</f>
        <v>0</v>
      </c>
      <c r="D102" s="97">
        <f>PROCESSING!D92</f>
        <v>0</v>
      </c>
      <c r="E102" s="121">
        <f>PROCESSING!E92</f>
        <v>0</v>
      </c>
      <c r="F102" s="98" t="str">
        <f>PROCESSING!AJ92</f>
        <v>-</v>
      </c>
      <c r="G102" s="99" t="str">
        <f>IFERROR(RANK(Table2[[#This Row],[GPA]],[GPA],0)+COUNTIF(Table2[[#This Row],[GPA]],Table2[[#This Row],[GPA]])-1,"*")</f>
        <v>*</v>
      </c>
    </row>
    <row r="103" spans="2:7" ht="15.5">
      <c r="B103" s="95">
        <f>PROCESSING!B93</f>
        <v>0</v>
      </c>
      <c r="C103" s="96">
        <f>PROCESSING!C93</f>
        <v>0</v>
      </c>
      <c r="D103" s="97">
        <f>PROCESSING!D93</f>
        <v>0</v>
      </c>
      <c r="E103" s="121">
        <f>PROCESSING!E93</f>
        <v>0</v>
      </c>
      <c r="F103" s="98" t="str">
        <f>PROCESSING!AJ93</f>
        <v>-</v>
      </c>
      <c r="G103" s="99" t="str">
        <f>IFERROR(RANK(Table2[[#This Row],[GPA]],[GPA],0)+COUNTIF(Table2[[#This Row],[GPA]],Table2[[#This Row],[GPA]])-1,"*")</f>
        <v>*</v>
      </c>
    </row>
    <row r="104" spans="2:7" ht="15.5">
      <c r="B104" s="95">
        <f>PROCESSING!B94</f>
        <v>0</v>
      </c>
      <c r="C104" s="96">
        <f>PROCESSING!C94</f>
        <v>0</v>
      </c>
      <c r="D104" s="97">
        <f>PROCESSING!D94</f>
        <v>0</v>
      </c>
      <c r="E104" s="121">
        <f>PROCESSING!E94</f>
        <v>0</v>
      </c>
      <c r="F104" s="98" t="str">
        <f>PROCESSING!AJ94</f>
        <v>-</v>
      </c>
      <c r="G104" s="99" t="str">
        <f>IFERROR(RANK(Table2[[#This Row],[GPA]],[GPA],0)+COUNTIF(Table2[[#This Row],[GPA]],Table2[[#This Row],[GPA]])-1,"*")</f>
        <v>*</v>
      </c>
    </row>
    <row r="105" spans="2:7" ht="15.5">
      <c r="B105" s="95">
        <f>PROCESSING!B95</f>
        <v>0</v>
      </c>
      <c r="C105" s="96">
        <f>PROCESSING!C95</f>
        <v>0</v>
      </c>
      <c r="D105" s="97">
        <f>PROCESSING!D95</f>
        <v>0</v>
      </c>
      <c r="E105" s="121">
        <f>PROCESSING!E95</f>
        <v>0</v>
      </c>
      <c r="F105" s="98" t="str">
        <f>PROCESSING!AJ95</f>
        <v>-</v>
      </c>
      <c r="G105" s="99" t="str">
        <f>IFERROR(RANK(Table2[[#This Row],[GPA]],[GPA],0)+COUNTIF(Table2[[#This Row],[GPA]],Table2[[#This Row],[GPA]])-1,"*")</f>
        <v>*</v>
      </c>
    </row>
    <row r="106" spans="2:7" ht="15.5">
      <c r="B106" s="95">
        <f>PROCESSING!B96</f>
        <v>0</v>
      </c>
      <c r="C106" s="96">
        <f>PROCESSING!C96</f>
        <v>0</v>
      </c>
      <c r="D106" s="97">
        <f>PROCESSING!D96</f>
        <v>0</v>
      </c>
      <c r="E106" s="121">
        <f>PROCESSING!E96</f>
        <v>0</v>
      </c>
      <c r="F106" s="98" t="str">
        <f>PROCESSING!AJ96</f>
        <v>-</v>
      </c>
      <c r="G106" s="99" t="str">
        <f>IFERROR(RANK(Table2[[#This Row],[GPA]],[GPA],0)+COUNTIF(Table2[[#This Row],[GPA]],Table2[[#This Row],[GPA]])-1,"*")</f>
        <v>*</v>
      </c>
    </row>
    <row r="107" spans="2:7" ht="15.5">
      <c r="B107" s="95">
        <f>PROCESSING!B97</f>
        <v>0</v>
      </c>
      <c r="C107" s="96">
        <f>PROCESSING!C97</f>
        <v>0</v>
      </c>
      <c r="D107" s="97">
        <f>PROCESSING!D97</f>
        <v>0</v>
      </c>
      <c r="E107" s="121">
        <f>PROCESSING!E97</f>
        <v>0</v>
      </c>
      <c r="F107" s="98" t="str">
        <f>PROCESSING!AJ97</f>
        <v>-</v>
      </c>
      <c r="G107" s="99" t="str">
        <f>IFERROR(RANK(Table2[[#This Row],[GPA]],[GPA],0)+COUNTIF(Table2[[#This Row],[GPA]],Table2[[#This Row],[GPA]])-1,"*")</f>
        <v>*</v>
      </c>
    </row>
    <row r="108" spans="2:7" ht="15.5">
      <c r="B108" s="95">
        <f>PROCESSING!B98</f>
        <v>0</v>
      </c>
      <c r="C108" s="96">
        <f>PROCESSING!C98</f>
        <v>0</v>
      </c>
      <c r="D108" s="97">
        <f>PROCESSING!D98</f>
        <v>0</v>
      </c>
      <c r="E108" s="121">
        <f>PROCESSING!E98</f>
        <v>0</v>
      </c>
      <c r="F108" s="98" t="str">
        <f>PROCESSING!AJ98</f>
        <v>-</v>
      </c>
      <c r="G108" s="99" t="str">
        <f>IFERROR(RANK(Table2[[#This Row],[GPA]],[GPA],0)+COUNTIF(Table2[[#This Row],[GPA]],Table2[[#This Row],[GPA]])-1,"*")</f>
        <v>*</v>
      </c>
    </row>
    <row r="109" spans="2:7" ht="15.5">
      <c r="B109" s="95">
        <f>PROCESSING!B99</f>
        <v>0</v>
      </c>
      <c r="C109" s="96">
        <f>PROCESSING!C99</f>
        <v>0</v>
      </c>
      <c r="D109" s="97">
        <f>PROCESSING!D99</f>
        <v>0</v>
      </c>
      <c r="E109" s="121">
        <f>PROCESSING!E99</f>
        <v>0</v>
      </c>
      <c r="F109" s="98" t="str">
        <f>PROCESSING!AJ99</f>
        <v>-</v>
      </c>
      <c r="G109" s="99" t="str">
        <f>IFERROR(RANK(Table2[[#This Row],[GPA]],[GPA],0)+COUNTIF(Table2[[#This Row],[GPA]],Table2[[#This Row],[GPA]])-1,"*")</f>
        <v>*</v>
      </c>
    </row>
    <row r="110" spans="2:7" ht="15.5">
      <c r="B110" s="95">
        <f>PROCESSING!B100</f>
        <v>0</v>
      </c>
      <c r="C110" s="96">
        <f>PROCESSING!C100</f>
        <v>0</v>
      </c>
      <c r="D110" s="97">
        <f>PROCESSING!D100</f>
        <v>0</v>
      </c>
      <c r="E110" s="121">
        <f>PROCESSING!E100</f>
        <v>0</v>
      </c>
      <c r="F110" s="98" t="str">
        <f>PROCESSING!AJ100</f>
        <v>-</v>
      </c>
      <c r="G110" s="99" t="str">
        <f>IFERROR(RANK(Table2[[#This Row],[GPA]],[GPA],0)+COUNTIF(Table2[[#This Row],[GPA]],Table2[[#This Row],[GPA]])-1,"*")</f>
        <v>*</v>
      </c>
    </row>
    <row r="111" spans="2:7" ht="15.5">
      <c r="B111" s="95">
        <f>PROCESSING!B101</f>
        <v>0</v>
      </c>
      <c r="C111" s="96">
        <f>PROCESSING!C101</f>
        <v>0</v>
      </c>
      <c r="D111" s="97">
        <f>PROCESSING!D101</f>
        <v>0</v>
      </c>
      <c r="E111" s="121">
        <f>PROCESSING!E101</f>
        <v>0</v>
      </c>
      <c r="F111" s="98" t="str">
        <f>PROCESSING!AJ101</f>
        <v>-</v>
      </c>
      <c r="G111" s="99" t="str">
        <f>IFERROR(RANK(Table2[[#This Row],[GPA]],[GPA],0)+COUNTIF(Table2[[#This Row],[GPA]],Table2[[#This Row],[GPA]])-1,"*")</f>
        <v>*</v>
      </c>
    </row>
    <row r="112" spans="2:7" ht="15.5">
      <c r="B112" s="95">
        <f>PROCESSING!B102</f>
        <v>0</v>
      </c>
      <c r="C112" s="96">
        <f>PROCESSING!C102</f>
        <v>0</v>
      </c>
      <c r="D112" s="97">
        <f>PROCESSING!D102</f>
        <v>0</v>
      </c>
      <c r="E112" s="121">
        <f>PROCESSING!E102</f>
        <v>0</v>
      </c>
      <c r="F112" s="98" t="str">
        <f>PROCESSING!AJ102</f>
        <v>-</v>
      </c>
      <c r="G112" s="99" t="str">
        <f>IFERROR(RANK(Table2[[#This Row],[GPA]],[GPA],0)+COUNTIF(Table2[[#This Row],[GPA]],Table2[[#This Row],[GPA]])-1,"*")</f>
        <v>*</v>
      </c>
    </row>
    <row r="113" spans="2:7" ht="15.5">
      <c r="B113" s="95">
        <f>PROCESSING!B103</f>
        <v>0</v>
      </c>
      <c r="C113" s="96">
        <f>PROCESSING!C103</f>
        <v>0</v>
      </c>
      <c r="D113" s="97">
        <f>PROCESSING!D103</f>
        <v>0</v>
      </c>
      <c r="E113" s="121">
        <f>PROCESSING!E103</f>
        <v>0</v>
      </c>
      <c r="F113" s="98" t="str">
        <f>PROCESSING!AJ103</f>
        <v>-</v>
      </c>
      <c r="G113" s="99" t="str">
        <f>IFERROR(RANK(Table2[[#This Row],[GPA]],[GPA],0)+COUNTIF(Table2[[#This Row],[GPA]],Table2[[#This Row],[GPA]])-1,"*")</f>
        <v>*</v>
      </c>
    </row>
    <row r="114" spans="2:7" ht="15.5">
      <c r="B114" s="95">
        <f>PROCESSING!B104</f>
        <v>0</v>
      </c>
      <c r="C114" s="96">
        <f>PROCESSING!C104</f>
        <v>0</v>
      </c>
      <c r="D114" s="97">
        <f>PROCESSING!D104</f>
        <v>0</v>
      </c>
      <c r="E114" s="121">
        <f>PROCESSING!E104</f>
        <v>0</v>
      </c>
      <c r="F114" s="98" t="str">
        <f>PROCESSING!AJ104</f>
        <v>-</v>
      </c>
      <c r="G114" s="99" t="str">
        <f>IFERROR(RANK(Table2[[#This Row],[GPA]],[GPA],0)+COUNTIF(Table2[[#This Row],[GPA]],Table2[[#This Row],[GPA]])-1,"*")</f>
        <v>*</v>
      </c>
    </row>
    <row r="115" spans="2:7" ht="15.5">
      <c r="B115" s="95">
        <f>PROCESSING!B105</f>
        <v>0</v>
      </c>
      <c r="C115" s="96">
        <f>PROCESSING!C105</f>
        <v>0</v>
      </c>
      <c r="D115" s="97">
        <f>PROCESSING!D105</f>
        <v>0</v>
      </c>
      <c r="E115" s="121">
        <f>PROCESSING!E105</f>
        <v>0</v>
      </c>
      <c r="F115" s="98" t="str">
        <f>PROCESSING!AJ105</f>
        <v>-</v>
      </c>
      <c r="G115" s="99" t="str">
        <f>IFERROR(RANK(Table2[[#This Row],[GPA]],[GPA],0)+COUNTIF(Table2[[#This Row],[GPA]],Table2[[#This Row],[GPA]])-1,"*")</f>
        <v>*</v>
      </c>
    </row>
    <row r="116" spans="2:7" ht="15.5">
      <c r="B116" s="95">
        <f>PROCESSING!B106</f>
        <v>0</v>
      </c>
      <c r="C116" s="96">
        <f>PROCESSING!C106</f>
        <v>0</v>
      </c>
      <c r="D116" s="97">
        <f>PROCESSING!D106</f>
        <v>0</v>
      </c>
      <c r="E116" s="121">
        <f>PROCESSING!E106</f>
        <v>0</v>
      </c>
      <c r="F116" s="98" t="str">
        <f>PROCESSING!AJ106</f>
        <v>-</v>
      </c>
      <c r="G116" s="99" t="str">
        <f>IFERROR(RANK(Table2[[#This Row],[GPA]],[GPA],0)+COUNTIF(Table2[[#This Row],[GPA]],Table2[[#This Row],[GPA]])-1,"*")</f>
        <v>*</v>
      </c>
    </row>
    <row r="117" spans="2:7" ht="15.5">
      <c r="B117" s="95">
        <f>PROCESSING!B107</f>
        <v>0</v>
      </c>
      <c r="C117" s="96">
        <f>PROCESSING!C107</f>
        <v>0</v>
      </c>
      <c r="D117" s="97">
        <f>PROCESSING!D107</f>
        <v>0</v>
      </c>
      <c r="E117" s="121">
        <f>PROCESSING!E107</f>
        <v>0</v>
      </c>
      <c r="F117" s="98" t="str">
        <f>PROCESSING!AJ107</f>
        <v>-</v>
      </c>
      <c r="G117" s="99" t="str">
        <f>IFERROR(RANK(Table2[[#This Row],[GPA]],[GPA],0)+COUNTIF(Table2[[#This Row],[GPA]],Table2[[#This Row],[GPA]])-1,"*")</f>
        <v>*</v>
      </c>
    </row>
    <row r="118" spans="2:7" ht="15.5">
      <c r="B118" s="95">
        <f>PROCESSING!B108</f>
        <v>0</v>
      </c>
      <c r="C118" s="96">
        <f>PROCESSING!C108</f>
        <v>0</v>
      </c>
      <c r="D118" s="131">
        <f>PROCESSING!D108</f>
        <v>0</v>
      </c>
      <c r="E118" s="121">
        <f>PROCESSING!E108</f>
        <v>0</v>
      </c>
      <c r="F118" s="98" t="str">
        <f>PROCESSING!AJ108</f>
        <v>-</v>
      </c>
      <c r="G118" s="99" t="str">
        <f>IFERROR(RANK(Table2[[#This Row],[GPA]],[GPA],0)+COUNTIF(Table2[[#This Row],[GPA]],Table2[[#This Row],[GPA]])-1,"*")</f>
        <v>*</v>
      </c>
    </row>
    <row r="119" spans="2:7" ht="15.5">
      <c r="B119" s="95">
        <f>PROCESSING!B109</f>
        <v>0</v>
      </c>
      <c r="C119" s="96">
        <f>PROCESSING!C109</f>
        <v>0</v>
      </c>
      <c r="D119" s="97">
        <f>PROCESSING!D109</f>
        <v>0</v>
      </c>
      <c r="E119" s="121">
        <f>PROCESSING!E109</f>
        <v>0</v>
      </c>
      <c r="F119" s="98" t="str">
        <f>PROCESSING!AJ109</f>
        <v>-</v>
      </c>
      <c r="G119" s="99" t="str">
        <f>IFERROR(RANK(Table2[[#This Row],[GPA]],[GPA],0)+COUNTIF(Table2[[#This Row],[GPA]],Table2[[#This Row],[GPA]])-1,"*")</f>
        <v>*</v>
      </c>
    </row>
    <row r="120" spans="2:7" ht="15.5">
      <c r="B120" s="95">
        <f>PROCESSING!B110</f>
        <v>0</v>
      </c>
      <c r="C120" s="96">
        <f>PROCESSING!C110</f>
        <v>0</v>
      </c>
      <c r="D120" s="97">
        <f>PROCESSING!D110</f>
        <v>0</v>
      </c>
      <c r="E120" s="121">
        <f>PROCESSING!E110</f>
        <v>0</v>
      </c>
      <c r="F120" s="98" t="str">
        <f>PROCESSING!AJ110</f>
        <v>-</v>
      </c>
      <c r="G120" s="99" t="str">
        <f>IFERROR(RANK(Table2[[#This Row],[GPA]],[GPA],0)+COUNTIF(Table2[[#This Row],[GPA]],Table2[[#This Row],[GPA]])-1,"*")</f>
        <v>*</v>
      </c>
    </row>
    <row r="121" spans="2:7" ht="15.5">
      <c r="B121" s="95">
        <f>PROCESSING!B111</f>
        <v>0</v>
      </c>
      <c r="C121" s="96">
        <f>PROCESSING!C111</f>
        <v>0</v>
      </c>
      <c r="D121" s="97">
        <f>PROCESSING!D111</f>
        <v>0</v>
      </c>
      <c r="E121" s="121">
        <f>PROCESSING!E111</f>
        <v>0</v>
      </c>
      <c r="F121" s="98" t="str">
        <f>PROCESSING!AJ111</f>
        <v>-</v>
      </c>
      <c r="G121" s="99" t="str">
        <f>IFERROR(RANK(Table2[[#This Row],[GPA]],[GPA],0)+COUNTIF(Table2[[#This Row],[GPA]],Table2[[#This Row],[GPA]])-1,"*")</f>
        <v>*</v>
      </c>
    </row>
    <row r="122" spans="2:7" ht="15.5">
      <c r="B122" s="95">
        <f>PROCESSING!B112</f>
        <v>0</v>
      </c>
      <c r="C122" s="96">
        <f>PROCESSING!C112</f>
        <v>0</v>
      </c>
      <c r="D122" s="97">
        <f>PROCESSING!D112</f>
        <v>0</v>
      </c>
      <c r="E122" s="121">
        <f>PROCESSING!E112</f>
        <v>0</v>
      </c>
      <c r="F122" s="98" t="str">
        <f>PROCESSING!AJ112</f>
        <v>-</v>
      </c>
      <c r="G122" s="99" t="str">
        <f>IFERROR(RANK(Table2[[#This Row],[GPA]],[GPA],0)+COUNTIF(Table2[[#This Row],[GPA]],Table2[[#This Row],[GPA]])-1,"*")</f>
        <v>*</v>
      </c>
    </row>
    <row r="123" spans="2:7" ht="15.5">
      <c r="B123" s="95">
        <f>PROCESSING!B113</f>
        <v>0</v>
      </c>
      <c r="C123" s="96">
        <f>PROCESSING!C113</f>
        <v>0</v>
      </c>
      <c r="D123" s="97">
        <f>PROCESSING!D113</f>
        <v>0</v>
      </c>
      <c r="E123" s="121">
        <f>PROCESSING!E113</f>
        <v>0</v>
      </c>
      <c r="F123" s="98" t="str">
        <f>PROCESSING!AJ113</f>
        <v>-</v>
      </c>
      <c r="G123" s="99" t="str">
        <f>IFERROR(RANK(Table2[[#This Row],[GPA]],[GPA],0)+COUNTIF(Table2[[#This Row],[GPA]],Table2[[#This Row],[GPA]])-1,"*")</f>
        <v>*</v>
      </c>
    </row>
    <row r="124" spans="2:7" ht="15.5">
      <c r="B124" s="95">
        <f>PROCESSING!B114</f>
        <v>0</v>
      </c>
      <c r="C124" s="96">
        <f>PROCESSING!C114</f>
        <v>0</v>
      </c>
      <c r="D124" s="97">
        <f>PROCESSING!D114</f>
        <v>0</v>
      </c>
      <c r="E124" s="121">
        <f>PROCESSING!E114</f>
        <v>0</v>
      </c>
      <c r="F124" s="98" t="str">
        <f>PROCESSING!AJ114</f>
        <v>-</v>
      </c>
      <c r="G124" s="99" t="str">
        <f>IFERROR(RANK(Table2[[#This Row],[GPA]],[GPA],0)+COUNTIF(Table2[[#This Row],[GPA]],Table2[[#This Row],[GPA]])-1,"*")</f>
        <v>*</v>
      </c>
    </row>
    <row r="125" spans="2:7" ht="15.5">
      <c r="B125" s="95">
        <f>PROCESSING!B115</f>
        <v>0</v>
      </c>
      <c r="C125" s="96">
        <f>PROCESSING!C115</f>
        <v>0</v>
      </c>
      <c r="D125" s="97">
        <f>PROCESSING!D115</f>
        <v>0</v>
      </c>
      <c r="E125" s="121">
        <f>PROCESSING!E115</f>
        <v>0</v>
      </c>
      <c r="F125" s="98" t="str">
        <f>PROCESSING!AJ115</f>
        <v>-</v>
      </c>
      <c r="G125" s="99" t="str">
        <f>IFERROR(RANK(Table2[[#This Row],[GPA]],[GPA],0)+COUNTIF(Table2[[#This Row],[GPA]],Table2[[#This Row],[GPA]])-1,"*")</f>
        <v>*</v>
      </c>
    </row>
    <row r="126" spans="2:7" ht="15.5">
      <c r="B126" s="95">
        <f>PROCESSING!B116</f>
        <v>0</v>
      </c>
      <c r="C126" s="96">
        <f>PROCESSING!C116</f>
        <v>0</v>
      </c>
      <c r="D126" s="97">
        <f>PROCESSING!D116</f>
        <v>0</v>
      </c>
      <c r="E126" s="121">
        <f>PROCESSING!E116</f>
        <v>0</v>
      </c>
      <c r="F126" s="98" t="str">
        <f>PROCESSING!AJ116</f>
        <v>-</v>
      </c>
      <c r="G126" s="99" t="str">
        <f>IFERROR(RANK(Table2[[#This Row],[GPA]],[GPA],0)+COUNTIF(Table2[[#This Row],[GPA]],Table2[[#This Row],[GPA]])-1,"*")</f>
        <v>*</v>
      </c>
    </row>
    <row r="127" spans="2:7" ht="15.5">
      <c r="B127" s="95">
        <f>PROCESSING!B117</f>
        <v>0</v>
      </c>
      <c r="C127" s="96">
        <f>PROCESSING!C117</f>
        <v>0</v>
      </c>
      <c r="D127" s="97">
        <f>PROCESSING!D117</f>
        <v>0</v>
      </c>
      <c r="E127" s="121">
        <f>PROCESSING!E117</f>
        <v>0</v>
      </c>
      <c r="F127" s="98" t="str">
        <f>PROCESSING!AJ117</f>
        <v>-</v>
      </c>
      <c r="G127" s="99" t="str">
        <f>IFERROR(RANK(Table2[[#This Row],[GPA]],[GPA],0)+COUNTIF(Table2[[#This Row],[GPA]],Table2[[#This Row],[GPA]])-1,"*")</f>
        <v>*</v>
      </c>
    </row>
    <row r="128" spans="2:7" ht="15.5">
      <c r="B128" s="95">
        <f>PROCESSING!B118</f>
        <v>0</v>
      </c>
      <c r="C128" s="96">
        <f>PROCESSING!C118</f>
        <v>0</v>
      </c>
      <c r="D128" s="97">
        <f>PROCESSING!D118</f>
        <v>0</v>
      </c>
      <c r="E128" s="121">
        <f>PROCESSING!E118</f>
        <v>0</v>
      </c>
      <c r="F128" s="98" t="str">
        <f>PROCESSING!AJ118</f>
        <v>-</v>
      </c>
      <c r="G128" s="99" t="str">
        <f>IFERROR(RANK(Table2[[#This Row],[GPA]],[GPA],0)+COUNTIF(Table2[[#This Row],[GPA]],Table2[[#This Row],[GPA]])-1,"*")</f>
        <v>*</v>
      </c>
    </row>
    <row r="129" spans="2:7" ht="15.5">
      <c r="B129" s="95">
        <f>PROCESSING!B119</f>
        <v>0</v>
      </c>
      <c r="C129" s="96">
        <f>PROCESSING!C119</f>
        <v>0</v>
      </c>
      <c r="D129" s="97">
        <f>PROCESSING!D119</f>
        <v>0</v>
      </c>
      <c r="E129" s="121">
        <f>PROCESSING!E119</f>
        <v>0</v>
      </c>
      <c r="F129" s="98" t="str">
        <f>PROCESSING!AJ119</f>
        <v>-</v>
      </c>
      <c r="G129" s="99" t="str">
        <f>IFERROR(RANK(Table2[[#This Row],[GPA]],[GPA],0)+COUNTIF(Table2[[#This Row],[GPA]],Table2[[#This Row],[GPA]])-1,"*")</f>
        <v>*</v>
      </c>
    </row>
    <row r="130" spans="2:7" ht="15.5">
      <c r="B130" s="95">
        <f>PROCESSING!B120</f>
        <v>0</v>
      </c>
      <c r="C130" s="96">
        <f>PROCESSING!C120</f>
        <v>0</v>
      </c>
      <c r="D130" s="97">
        <f>PROCESSING!D120</f>
        <v>0</v>
      </c>
      <c r="E130" s="121">
        <f>PROCESSING!E120</f>
        <v>0</v>
      </c>
      <c r="F130" s="98" t="str">
        <f>PROCESSING!AJ120</f>
        <v>-</v>
      </c>
      <c r="G130" s="99" t="str">
        <f>IFERROR(RANK(Table2[[#This Row],[GPA]],[GPA],0)+COUNTIF(Table2[[#This Row],[GPA]],Table2[[#This Row],[GPA]])-1,"*")</f>
        <v>*</v>
      </c>
    </row>
    <row r="131" spans="2:7" ht="15.5">
      <c r="B131" s="95">
        <f>PROCESSING!B121</f>
        <v>0</v>
      </c>
      <c r="C131" s="96">
        <f>PROCESSING!C121</f>
        <v>0</v>
      </c>
      <c r="D131" s="97">
        <f>PROCESSING!D121</f>
        <v>0</v>
      </c>
      <c r="E131" s="121">
        <f>PROCESSING!E121</f>
        <v>0</v>
      </c>
      <c r="F131" s="98" t="str">
        <f>PROCESSING!AJ121</f>
        <v>-</v>
      </c>
      <c r="G131" s="99" t="str">
        <f>IFERROR(RANK(Table2[[#This Row],[GPA]],[GPA],0)+COUNTIF(Table2[[#This Row],[GPA]],Table2[[#This Row],[GPA]])-1,"*")</f>
        <v>*</v>
      </c>
    </row>
    <row r="132" spans="2:7" ht="15.5">
      <c r="B132" s="95">
        <f>PROCESSING!B122</f>
        <v>0</v>
      </c>
      <c r="C132" s="96">
        <f>PROCESSING!C122</f>
        <v>0</v>
      </c>
      <c r="D132" s="97">
        <f>PROCESSING!D122</f>
        <v>0</v>
      </c>
      <c r="E132" s="121">
        <f>PROCESSING!E122</f>
        <v>0</v>
      </c>
      <c r="F132" s="98" t="str">
        <f>PROCESSING!AJ122</f>
        <v>-</v>
      </c>
      <c r="G132" s="99" t="str">
        <f>IFERROR(RANK(Table2[[#This Row],[GPA]],[GPA],0)+COUNTIF(Table2[[#This Row],[GPA]],Table2[[#This Row],[GPA]])-1,"*")</f>
        <v>*</v>
      </c>
    </row>
    <row r="133" spans="2:7" ht="15.5">
      <c r="B133" s="95">
        <f>PROCESSING!B123</f>
        <v>0</v>
      </c>
      <c r="C133" s="96">
        <f>PROCESSING!C123</f>
        <v>0</v>
      </c>
      <c r="D133" s="97">
        <f>PROCESSING!D123</f>
        <v>0</v>
      </c>
      <c r="E133" s="121">
        <f>PROCESSING!E123</f>
        <v>0</v>
      </c>
      <c r="F133" s="98" t="str">
        <f>PROCESSING!AJ123</f>
        <v>-</v>
      </c>
      <c r="G133" s="99" t="str">
        <f>IFERROR(RANK(Table2[[#This Row],[GPA]],[GPA],0)+COUNTIF(Table2[[#This Row],[GPA]],Table2[[#This Row],[GPA]])-1,"*")</f>
        <v>*</v>
      </c>
    </row>
    <row r="134" spans="2:7" ht="15.5">
      <c r="B134" s="95">
        <f>PROCESSING!B124</f>
        <v>0</v>
      </c>
      <c r="C134" s="96">
        <f>PROCESSING!C124</f>
        <v>0</v>
      </c>
      <c r="D134" s="97">
        <f>PROCESSING!D124</f>
        <v>0</v>
      </c>
      <c r="E134" s="121">
        <f>PROCESSING!E124</f>
        <v>0</v>
      </c>
      <c r="F134" s="98" t="str">
        <f>PROCESSING!AJ124</f>
        <v>-</v>
      </c>
      <c r="G134" s="99" t="str">
        <f>IFERROR(RANK(Table2[[#This Row],[GPA]],[GPA],0)+COUNTIF(Table2[[#This Row],[GPA]],Table2[[#This Row],[GPA]])-1,"*")</f>
        <v>*</v>
      </c>
    </row>
    <row r="135" spans="2:7" ht="15.5">
      <c r="B135" s="95">
        <f>PROCESSING!B125</f>
        <v>0</v>
      </c>
      <c r="C135" s="96">
        <f>PROCESSING!C125</f>
        <v>0</v>
      </c>
      <c r="D135" s="97">
        <f>PROCESSING!D125</f>
        <v>0</v>
      </c>
      <c r="E135" s="121">
        <f>PROCESSING!E125</f>
        <v>0</v>
      </c>
      <c r="F135" s="98" t="str">
        <f>PROCESSING!AJ125</f>
        <v>-</v>
      </c>
      <c r="G135" s="99" t="str">
        <f>IFERROR(RANK(Table2[[#This Row],[GPA]],[GPA],0)+COUNTIF(Table2[[#This Row],[GPA]],Table2[[#This Row],[GPA]])-1,"*")</f>
        <v>*</v>
      </c>
    </row>
    <row r="136" spans="2:7" ht="15.5">
      <c r="B136" s="95">
        <f>PROCESSING!B126</f>
        <v>0</v>
      </c>
      <c r="C136" s="96">
        <f>PROCESSING!C126</f>
        <v>0</v>
      </c>
      <c r="D136" s="97">
        <f>PROCESSING!D126</f>
        <v>0</v>
      </c>
      <c r="E136" s="121">
        <f>PROCESSING!E126</f>
        <v>0</v>
      </c>
      <c r="F136" s="98" t="str">
        <f>PROCESSING!AJ126</f>
        <v>-</v>
      </c>
      <c r="G136" s="99" t="str">
        <f>IFERROR(RANK(Table2[[#This Row],[GPA]],[GPA],0)+COUNTIF(Table2[[#This Row],[GPA]],Table2[[#This Row],[GPA]])-1,"*")</f>
        <v>*</v>
      </c>
    </row>
    <row r="137" spans="2:7" ht="15.5">
      <c r="B137" s="95">
        <f>PROCESSING!B127</f>
        <v>0</v>
      </c>
      <c r="C137" s="96">
        <f>PROCESSING!C127</f>
        <v>0</v>
      </c>
      <c r="D137" s="97">
        <f>PROCESSING!D127</f>
        <v>0</v>
      </c>
      <c r="E137" s="121">
        <f>PROCESSING!E127</f>
        <v>0</v>
      </c>
      <c r="F137" s="98" t="str">
        <f>PROCESSING!AJ127</f>
        <v>-</v>
      </c>
      <c r="G137" s="99" t="str">
        <f>IFERROR(RANK(Table2[[#This Row],[GPA]],[GPA],0)+COUNTIF(Table2[[#This Row],[GPA]],Table2[[#This Row],[GPA]])-1,"*")</f>
        <v>*</v>
      </c>
    </row>
    <row r="138" spans="2:7" ht="15.5">
      <c r="B138" s="95">
        <f>PROCESSING!B128</f>
        <v>0</v>
      </c>
      <c r="C138" s="96">
        <f>PROCESSING!C128</f>
        <v>0</v>
      </c>
      <c r="D138" s="97">
        <f>PROCESSING!D128</f>
        <v>0</v>
      </c>
      <c r="E138" s="121">
        <f>PROCESSING!E128</f>
        <v>0</v>
      </c>
      <c r="F138" s="98" t="str">
        <f>PROCESSING!AJ128</f>
        <v>-</v>
      </c>
      <c r="G138" s="99" t="str">
        <f>IFERROR(RANK(Table2[[#This Row],[GPA]],[GPA],0)+COUNTIF(Table2[[#This Row],[GPA]],Table2[[#This Row],[GPA]])-1,"*")</f>
        <v>*</v>
      </c>
    </row>
    <row r="139" spans="2:7" ht="15.5">
      <c r="B139" s="95">
        <f>PROCESSING!B129</f>
        <v>0</v>
      </c>
      <c r="C139" s="96">
        <f>PROCESSING!C129</f>
        <v>0</v>
      </c>
      <c r="D139" s="97">
        <f>PROCESSING!D129</f>
        <v>0</v>
      </c>
      <c r="E139" s="121">
        <f>PROCESSING!E129</f>
        <v>0</v>
      </c>
      <c r="F139" s="98" t="str">
        <f>PROCESSING!AJ129</f>
        <v>-</v>
      </c>
      <c r="G139" s="99" t="str">
        <f>IFERROR(RANK(Table2[[#This Row],[GPA]],[GPA],0)+COUNTIF(Table2[[#This Row],[GPA]],Table2[[#This Row],[GPA]])-1,"*")</f>
        <v>*</v>
      </c>
    </row>
    <row r="140" spans="2:7" ht="15.5">
      <c r="B140" s="95">
        <f>PROCESSING!B130</f>
        <v>0</v>
      </c>
      <c r="C140" s="96">
        <f>PROCESSING!C130</f>
        <v>0</v>
      </c>
      <c r="D140" s="97">
        <f>PROCESSING!D130</f>
        <v>0</v>
      </c>
      <c r="E140" s="121">
        <f>PROCESSING!E130</f>
        <v>0</v>
      </c>
      <c r="F140" s="98" t="str">
        <f>PROCESSING!AJ130</f>
        <v>-</v>
      </c>
      <c r="G140" s="99" t="str">
        <f>IFERROR(RANK(Table2[[#This Row],[GPA]],[GPA],0)+COUNTIF(Table2[[#This Row],[GPA]],Table2[[#This Row],[GPA]])-1,"*")</f>
        <v>*</v>
      </c>
    </row>
    <row r="141" spans="2:7" ht="15.5">
      <c r="B141" s="95">
        <f>PROCESSING!B131</f>
        <v>0</v>
      </c>
      <c r="C141" s="96">
        <f>PROCESSING!C131</f>
        <v>0</v>
      </c>
      <c r="D141" s="97">
        <f>PROCESSING!D131</f>
        <v>0</v>
      </c>
      <c r="E141" s="121">
        <f>PROCESSING!E131</f>
        <v>0</v>
      </c>
      <c r="F141" s="98" t="str">
        <f>PROCESSING!AJ131</f>
        <v>-</v>
      </c>
      <c r="G141" s="99" t="str">
        <f>IFERROR(RANK(Table2[[#This Row],[GPA]],[GPA],0)+COUNTIF(Table2[[#This Row],[GPA]],Table2[[#This Row],[GPA]])-1,"*")</f>
        <v>*</v>
      </c>
    </row>
    <row r="142" spans="2:7" ht="15.5">
      <c r="B142" s="95">
        <f>PROCESSING!B132</f>
        <v>0</v>
      </c>
      <c r="C142" s="96">
        <f>PROCESSING!C132</f>
        <v>0</v>
      </c>
      <c r="D142" s="97">
        <f>PROCESSING!D132</f>
        <v>0</v>
      </c>
      <c r="E142" s="121">
        <f>PROCESSING!E132</f>
        <v>0</v>
      </c>
      <c r="F142" s="98" t="str">
        <f>PROCESSING!AJ132</f>
        <v>-</v>
      </c>
      <c r="G142" s="99" t="str">
        <f>IFERROR(RANK(Table2[[#This Row],[GPA]],[GPA],0)+COUNTIF(Table2[[#This Row],[GPA]],Table2[[#This Row],[GPA]])-1,"*")</f>
        <v>*</v>
      </c>
    </row>
    <row r="143" spans="2:7" ht="15.5">
      <c r="B143" s="95">
        <f>PROCESSING!B133</f>
        <v>0</v>
      </c>
      <c r="C143" s="96">
        <f>PROCESSING!C133</f>
        <v>0</v>
      </c>
      <c r="D143" s="97">
        <f>PROCESSING!D133</f>
        <v>0</v>
      </c>
      <c r="E143" s="121">
        <f>PROCESSING!E133</f>
        <v>0</v>
      </c>
      <c r="F143" s="98" t="str">
        <f>PROCESSING!AJ133</f>
        <v>-</v>
      </c>
      <c r="G143" s="99" t="str">
        <f>IFERROR(RANK(Table2[[#This Row],[GPA]],[GPA],0)+COUNTIF(Table2[[#This Row],[GPA]],Table2[[#This Row],[GPA]])-1,"*")</f>
        <v>*</v>
      </c>
    </row>
    <row r="144" spans="2:7" ht="15.5">
      <c r="B144" s="95">
        <f>PROCESSING!B134</f>
        <v>0</v>
      </c>
      <c r="C144" s="96">
        <f>PROCESSING!C134</f>
        <v>0</v>
      </c>
      <c r="D144" s="97">
        <f>PROCESSING!D134</f>
        <v>0</v>
      </c>
      <c r="E144" s="121">
        <f>PROCESSING!E134</f>
        <v>0</v>
      </c>
      <c r="F144" s="98" t="str">
        <f>PROCESSING!AJ134</f>
        <v>-</v>
      </c>
      <c r="G144" s="99" t="str">
        <f>IFERROR(RANK(Table2[[#This Row],[GPA]],[GPA],0)+COUNTIF(Table2[[#This Row],[GPA]],Table2[[#This Row],[GPA]])-1,"*")</f>
        <v>*</v>
      </c>
    </row>
    <row r="145" spans="2:7" ht="15.5">
      <c r="B145" s="95">
        <f>PROCESSING!B135</f>
        <v>0</v>
      </c>
      <c r="C145" s="96">
        <f>PROCESSING!C135</f>
        <v>0</v>
      </c>
      <c r="D145" s="97">
        <f>PROCESSING!D135</f>
        <v>0</v>
      </c>
      <c r="E145" s="121">
        <f>PROCESSING!E135</f>
        <v>0</v>
      </c>
      <c r="F145" s="98" t="str">
        <f>PROCESSING!AJ135</f>
        <v>-</v>
      </c>
      <c r="G145" s="99" t="str">
        <f>IFERROR(RANK(Table2[[#This Row],[GPA]],[GPA],0)+COUNTIF(Table2[[#This Row],[GPA]],Table2[[#This Row],[GPA]])-1,"*")</f>
        <v>*</v>
      </c>
    </row>
    <row r="146" spans="2:7" ht="15.5">
      <c r="B146" s="95">
        <f>PROCESSING!B136</f>
        <v>0</v>
      </c>
      <c r="C146" s="96">
        <f>PROCESSING!C136</f>
        <v>0</v>
      </c>
      <c r="D146" s="97">
        <f>PROCESSING!D136</f>
        <v>0</v>
      </c>
      <c r="E146" s="121">
        <f>PROCESSING!E136</f>
        <v>0</v>
      </c>
      <c r="F146" s="98" t="str">
        <f>PROCESSING!AJ136</f>
        <v>-</v>
      </c>
      <c r="G146" s="99" t="str">
        <f>IFERROR(RANK(Table2[[#This Row],[GPA]],[GPA],0)+COUNTIF(Table2[[#This Row],[GPA]],Table2[[#This Row],[GPA]])-1,"*")</f>
        <v>*</v>
      </c>
    </row>
    <row r="147" spans="2:7" ht="15.5">
      <c r="B147" s="95">
        <f>PROCESSING!B137</f>
        <v>0</v>
      </c>
      <c r="C147" s="96">
        <f>PROCESSING!C137</f>
        <v>0</v>
      </c>
      <c r="D147" s="97">
        <f>PROCESSING!D137</f>
        <v>0</v>
      </c>
      <c r="E147" s="121">
        <f>PROCESSING!E137</f>
        <v>0</v>
      </c>
      <c r="F147" s="98" t="str">
        <f>PROCESSING!AJ137</f>
        <v>-</v>
      </c>
      <c r="G147" s="99" t="str">
        <f>IFERROR(RANK(Table2[[#This Row],[GPA]],[GPA],0)+COUNTIF(Table2[[#This Row],[GPA]],Table2[[#This Row],[GPA]])-1,"*")</f>
        <v>*</v>
      </c>
    </row>
    <row r="148" spans="2:7" ht="15.5">
      <c r="B148" s="95">
        <f>PROCESSING!B138</f>
        <v>0</v>
      </c>
      <c r="C148" s="96">
        <f>PROCESSING!C138</f>
        <v>0</v>
      </c>
      <c r="D148" s="97">
        <f>PROCESSING!D138</f>
        <v>0</v>
      </c>
      <c r="E148" s="121">
        <f>PROCESSING!E138</f>
        <v>0</v>
      </c>
      <c r="F148" s="98" t="str">
        <f>PROCESSING!AJ138</f>
        <v>-</v>
      </c>
      <c r="G148" s="99" t="str">
        <f>IFERROR(RANK(Table2[[#This Row],[GPA]],[GPA],0)+COUNTIF(Table2[[#This Row],[GPA]],Table2[[#This Row],[GPA]])-1,"*")</f>
        <v>*</v>
      </c>
    </row>
    <row r="149" spans="2:7" ht="15.5">
      <c r="B149" s="95">
        <f>PROCESSING!B139</f>
        <v>0</v>
      </c>
      <c r="C149" s="96">
        <f>PROCESSING!C139</f>
        <v>0</v>
      </c>
      <c r="D149" s="97">
        <f>PROCESSING!D139</f>
        <v>0</v>
      </c>
      <c r="E149" s="121">
        <f>PROCESSING!E139</f>
        <v>0</v>
      </c>
      <c r="F149" s="98" t="str">
        <f>PROCESSING!AJ139</f>
        <v>-</v>
      </c>
      <c r="G149" s="99" t="str">
        <f>IFERROR(RANK(Table2[[#This Row],[GPA]],[GPA],0)+COUNTIF(Table2[[#This Row],[GPA]],Table2[[#This Row],[GPA]])-1,"*")</f>
        <v>*</v>
      </c>
    </row>
    <row r="150" spans="2:7" ht="15.5">
      <c r="B150" s="95">
        <f>PROCESSING!B140</f>
        <v>0</v>
      </c>
      <c r="C150" s="96">
        <f>PROCESSING!C140</f>
        <v>0</v>
      </c>
      <c r="D150" s="97">
        <f>PROCESSING!D140</f>
        <v>0</v>
      </c>
      <c r="E150" s="121">
        <f>PROCESSING!E140</f>
        <v>0</v>
      </c>
      <c r="F150" s="98" t="str">
        <f>PROCESSING!AJ140</f>
        <v>-</v>
      </c>
      <c r="G150" s="99" t="str">
        <f>IFERROR(RANK(Table2[[#This Row],[GPA]],[GPA],0)+COUNTIF(Table2[[#This Row],[GPA]],Table2[[#This Row],[GPA]])-1,"*")</f>
        <v>*</v>
      </c>
    </row>
    <row r="151" spans="2:7" ht="15.5">
      <c r="B151" s="95">
        <f>PROCESSING!B141</f>
        <v>0</v>
      </c>
      <c r="C151" s="96">
        <f>PROCESSING!C141</f>
        <v>0</v>
      </c>
      <c r="D151" s="97">
        <f>PROCESSING!D141</f>
        <v>0</v>
      </c>
      <c r="E151" s="121">
        <f>PROCESSING!E141</f>
        <v>0</v>
      </c>
      <c r="F151" s="98" t="str">
        <f>PROCESSING!AJ141</f>
        <v>-</v>
      </c>
      <c r="G151" s="99" t="str">
        <f>IFERROR(RANK(Table2[[#This Row],[GPA]],[GPA],0)+COUNTIF(Table2[[#This Row],[GPA]],Table2[[#This Row],[GPA]])-1,"*")</f>
        <v>*</v>
      </c>
    </row>
    <row r="152" spans="2:7" ht="15.5">
      <c r="B152" s="95">
        <f>PROCESSING!B142</f>
        <v>0</v>
      </c>
      <c r="C152" s="96">
        <f>PROCESSING!C142</f>
        <v>0</v>
      </c>
      <c r="D152" s="97">
        <f>PROCESSING!D142</f>
        <v>0</v>
      </c>
      <c r="E152" s="121">
        <f>PROCESSING!E142</f>
        <v>0</v>
      </c>
      <c r="F152" s="98" t="str">
        <f>PROCESSING!AJ142</f>
        <v>-</v>
      </c>
      <c r="G152" s="99" t="str">
        <f>IFERROR(RANK(Table2[[#This Row],[GPA]],[GPA],0)+COUNTIF(Table2[[#This Row],[GPA]],Table2[[#This Row],[GPA]])-1,"*")</f>
        <v>*</v>
      </c>
    </row>
    <row r="153" spans="2:7" ht="15.5">
      <c r="B153" s="95">
        <f>PROCESSING!B143</f>
        <v>0</v>
      </c>
      <c r="C153" s="96">
        <f>PROCESSING!C143</f>
        <v>0</v>
      </c>
      <c r="D153" s="97">
        <f>PROCESSING!D143</f>
        <v>0</v>
      </c>
      <c r="E153" s="121">
        <f>PROCESSING!E143</f>
        <v>0</v>
      </c>
      <c r="F153" s="98" t="str">
        <f>PROCESSING!AJ143</f>
        <v>-</v>
      </c>
      <c r="G153" s="99" t="str">
        <f>IFERROR(RANK(Table2[[#This Row],[GPA]],[GPA],0)+COUNTIF(Table2[[#This Row],[GPA]],Table2[[#This Row],[GPA]])-1,"*")</f>
        <v>*</v>
      </c>
    </row>
    <row r="154" spans="2:7" ht="15.5">
      <c r="B154" s="95">
        <f>PROCESSING!B144</f>
        <v>0</v>
      </c>
      <c r="C154" s="96">
        <f>PROCESSING!C144</f>
        <v>0</v>
      </c>
      <c r="D154" s="97">
        <f>PROCESSING!D144</f>
        <v>0</v>
      </c>
      <c r="E154" s="121">
        <f>PROCESSING!E144</f>
        <v>0</v>
      </c>
      <c r="F154" s="98" t="str">
        <f>PROCESSING!AJ144</f>
        <v>-</v>
      </c>
      <c r="G154" s="99" t="str">
        <f>IFERROR(RANK(Table2[[#This Row],[GPA]],[GPA],0)+COUNTIF(Table2[[#This Row],[GPA]],Table2[[#This Row],[GPA]])-1,"*")</f>
        <v>*</v>
      </c>
    </row>
    <row r="155" spans="2:7" ht="15.5">
      <c r="B155" s="95">
        <f>PROCESSING!B145</f>
        <v>0</v>
      </c>
      <c r="C155" s="96">
        <f>PROCESSING!C145</f>
        <v>0</v>
      </c>
      <c r="D155" s="97">
        <f>PROCESSING!D145</f>
        <v>0</v>
      </c>
      <c r="E155" s="121">
        <f>PROCESSING!E145</f>
        <v>0</v>
      </c>
      <c r="F155" s="98" t="str">
        <f>PROCESSING!AJ145</f>
        <v>-</v>
      </c>
      <c r="G155" s="99" t="str">
        <f>IFERROR(RANK(Table2[[#This Row],[GPA]],[GPA],0)+COUNTIF(Table2[[#This Row],[GPA]],Table2[[#This Row],[GPA]])-1,"*")</f>
        <v>*</v>
      </c>
    </row>
    <row r="156" spans="2:7" ht="15.5">
      <c r="B156" s="95">
        <f>PROCESSING!B146</f>
        <v>0</v>
      </c>
      <c r="C156" s="96">
        <f>PROCESSING!C146</f>
        <v>0</v>
      </c>
      <c r="D156" s="97">
        <f>PROCESSING!D146</f>
        <v>0</v>
      </c>
      <c r="E156" s="121">
        <f>PROCESSING!E146</f>
        <v>0</v>
      </c>
      <c r="F156" s="98" t="str">
        <f>PROCESSING!AJ146</f>
        <v>-</v>
      </c>
      <c r="G156" s="99" t="str">
        <f>IFERROR(RANK(Table2[[#This Row],[GPA]],[GPA],0)+COUNTIF(Table2[[#This Row],[GPA]],Table2[[#This Row],[GPA]])-1,"*")</f>
        <v>*</v>
      </c>
    </row>
    <row r="157" spans="2:7" ht="15.5">
      <c r="B157" s="95">
        <f>PROCESSING!B147</f>
        <v>0</v>
      </c>
      <c r="C157" s="96">
        <f>PROCESSING!C147</f>
        <v>0</v>
      </c>
      <c r="D157" s="97">
        <f>PROCESSING!D147</f>
        <v>0</v>
      </c>
      <c r="E157" s="121">
        <f>PROCESSING!E147</f>
        <v>0</v>
      </c>
      <c r="F157" s="98" t="str">
        <f>PROCESSING!AJ147</f>
        <v>-</v>
      </c>
      <c r="G157" s="99" t="str">
        <f>IFERROR(RANK(Table2[[#This Row],[GPA]],[GPA],0)+COUNTIF(Table2[[#This Row],[GPA]],Table2[[#This Row],[GPA]])-1,"*")</f>
        <v>*</v>
      </c>
    </row>
    <row r="158" spans="2:7" ht="15.5">
      <c r="B158" s="95">
        <f>PROCESSING!B148</f>
        <v>0</v>
      </c>
      <c r="C158" s="96">
        <f>PROCESSING!C148</f>
        <v>0</v>
      </c>
      <c r="D158" s="97">
        <f>PROCESSING!D148</f>
        <v>0</v>
      </c>
      <c r="E158" s="121">
        <f>PROCESSING!E148</f>
        <v>0</v>
      </c>
      <c r="F158" s="98" t="str">
        <f>PROCESSING!AJ148</f>
        <v>-</v>
      </c>
      <c r="G158" s="99" t="str">
        <f>IFERROR(RANK(Table2[[#This Row],[GPA]],[GPA],0)+COUNTIF(Table2[[#This Row],[GPA]],Table2[[#This Row],[GPA]])-1,"*")</f>
        <v>*</v>
      </c>
    </row>
    <row r="159" spans="2:7" ht="15.5">
      <c r="B159" s="95">
        <f>PROCESSING!B149</f>
        <v>0</v>
      </c>
      <c r="C159" s="96">
        <f>PROCESSING!C149</f>
        <v>0</v>
      </c>
      <c r="D159" s="97">
        <f>PROCESSING!D149</f>
        <v>0</v>
      </c>
      <c r="E159" s="121">
        <f>PROCESSING!E149</f>
        <v>0</v>
      </c>
      <c r="F159" s="98" t="str">
        <f>PROCESSING!AJ149</f>
        <v>-</v>
      </c>
      <c r="G159" s="99" t="str">
        <f>IFERROR(RANK(Table2[[#This Row],[GPA]],[GPA],0)+COUNTIF(Table2[[#This Row],[GPA]],Table2[[#This Row],[GPA]])-1,"*")</f>
        <v>*</v>
      </c>
    </row>
    <row r="160" spans="2:7" ht="15.5">
      <c r="B160" s="95">
        <f>PROCESSING!B150</f>
        <v>0</v>
      </c>
      <c r="C160" s="96">
        <f>PROCESSING!C150</f>
        <v>0</v>
      </c>
      <c r="D160" s="97">
        <f>PROCESSING!D150</f>
        <v>0</v>
      </c>
      <c r="E160" s="121">
        <f>PROCESSING!E150</f>
        <v>0</v>
      </c>
      <c r="F160" s="98" t="str">
        <f>PROCESSING!AJ150</f>
        <v>-</v>
      </c>
      <c r="G160" s="99" t="str">
        <f>IFERROR(RANK(Table2[[#This Row],[GPA]],[GPA],0)+COUNTIF(Table2[[#This Row],[GPA]],Table2[[#This Row],[GPA]])-1,"*")</f>
        <v>*</v>
      </c>
    </row>
    <row r="161" spans="2:7" ht="15.5">
      <c r="B161" s="95">
        <f>PROCESSING!B151</f>
        <v>0</v>
      </c>
      <c r="C161" s="96">
        <f>PROCESSING!C151</f>
        <v>0</v>
      </c>
      <c r="D161" s="97">
        <f>PROCESSING!D151</f>
        <v>0</v>
      </c>
      <c r="E161" s="121">
        <f>PROCESSING!E151</f>
        <v>0</v>
      </c>
      <c r="F161" s="98" t="str">
        <f>PROCESSING!AJ151</f>
        <v>-</v>
      </c>
      <c r="G161" s="99" t="str">
        <f>IFERROR(RANK(Table2[[#This Row],[GPA]],[GPA],0)+COUNTIF(Table2[[#This Row],[GPA]],Table2[[#This Row],[GPA]])-1,"*")</f>
        <v>*</v>
      </c>
    </row>
    <row r="162" spans="2:7" ht="15.5">
      <c r="B162" s="95">
        <f>PROCESSING!B152</f>
        <v>0</v>
      </c>
      <c r="C162" s="96">
        <f>PROCESSING!C152</f>
        <v>0</v>
      </c>
      <c r="D162" s="97">
        <f>PROCESSING!D152</f>
        <v>0</v>
      </c>
      <c r="E162" s="121">
        <f>PROCESSING!E152</f>
        <v>0</v>
      </c>
      <c r="F162" s="98" t="str">
        <f>PROCESSING!AJ152</f>
        <v>-</v>
      </c>
      <c r="G162" s="99" t="str">
        <f>IFERROR(RANK(Table2[[#This Row],[GPA]],[GPA],0)+COUNTIF(Table2[[#This Row],[GPA]],Table2[[#This Row],[GPA]])-1,"*")</f>
        <v>*</v>
      </c>
    </row>
    <row r="163" spans="2:7" ht="15.5">
      <c r="B163" s="95">
        <f>PROCESSING!B153</f>
        <v>0</v>
      </c>
      <c r="C163" s="96">
        <f>PROCESSING!C153</f>
        <v>0</v>
      </c>
      <c r="D163" s="97">
        <f>PROCESSING!D153</f>
        <v>0</v>
      </c>
      <c r="E163" s="121">
        <f>PROCESSING!E153</f>
        <v>0</v>
      </c>
      <c r="F163" s="98" t="str">
        <f>PROCESSING!AJ153</f>
        <v>-</v>
      </c>
      <c r="G163" s="99" t="str">
        <f>IFERROR(RANK(Table2[[#This Row],[GPA]],[GPA],0)+COUNTIF(Table2[[#This Row],[GPA]],Table2[[#This Row],[GPA]])-1,"*")</f>
        <v>*</v>
      </c>
    </row>
    <row r="164" spans="2:7" ht="15.5">
      <c r="B164" s="95">
        <f>PROCESSING!B154</f>
        <v>0</v>
      </c>
      <c r="C164" s="96">
        <f>PROCESSING!C154</f>
        <v>0</v>
      </c>
      <c r="D164" s="97">
        <f>PROCESSING!D154</f>
        <v>0</v>
      </c>
      <c r="E164" s="121">
        <f>PROCESSING!E154</f>
        <v>0</v>
      </c>
      <c r="F164" s="98" t="str">
        <f>PROCESSING!AJ154</f>
        <v>-</v>
      </c>
      <c r="G164" s="99" t="str">
        <f>IFERROR(RANK(Table2[[#This Row],[GPA]],[GPA],0)+COUNTIF(Table2[[#This Row],[GPA]],Table2[[#This Row],[GPA]])-1,"*")</f>
        <v>*</v>
      </c>
    </row>
  </sheetData>
  <sheetProtection password="C44B" sheet="1" objects="1" scenarios="1" formatCells="0"/>
  <printOptions horizontalCentered="1" verticalCentered="1"/>
  <pageMargins left="0.25" right="0.25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B1:G268"/>
  <sheetViews>
    <sheetView topLeftCell="A166" workbookViewId="0">
      <selection activeCell="B183" sqref="B183"/>
    </sheetView>
  </sheetViews>
  <sheetFormatPr defaultRowHeight="14.5"/>
  <cols>
    <col min="1" max="1" width="2.453125" customWidth="1"/>
    <col min="2" max="2" width="9" customWidth="1"/>
    <col min="3" max="3" width="74.453125" bestFit="1" customWidth="1"/>
    <col min="4" max="4" width="5.6328125" bestFit="1" customWidth="1"/>
    <col min="5" max="176" width="15.54296875" customWidth="1"/>
    <col min="177" max="177" width="10.6328125" customWidth="1"/>
    <col min="178" max="178" width="9.6328125" customWidth="1"/>
    <col min="179" max="179" width="11.90625" bestFit="1" customWidth="1"/>
    <col min="180" max="180" width="9.6328125" bestFit="1" customWidth="1"/>
    <col min="181" max="181" width="13.54296875" bestFit="1" customWidth="1"/>
    <col min="182" max="182" width="9.6328125" bestFit="1" customWidth="1"/>
    <col min="183" max="183" width="13.36328125" bestFit="1" customWidth="1"/>
    <col min="184" max="184" width="9.6328125" bestFit="1" customWidth="1"/>
    <col min="185" max="185" width="12" bestFit="1" customWidth="1"/>
    <col min="186" max="186" width="9.6328125" bestFit="1" customWidth="1"/>
    <col min="187" max="187" width="11.6328125" bestFit="1" customWidth="1"/>
    <col min="188" max="188" width="9.6328125" bestFit="1" customWidth="1"/>
    <col min="189" max="189" width="9.90625" bestFit="1" customWidth="1"/>
    <col min="190" max="190" width="9.6328125" bestFit="1" customWidth="1"/>
    <col min="191" max="191" width="9.54296875" bestFit="1" customWidth="1"/>
    <col min="192" max="192" width="9.6328125" bestFit="1" customWidth="1"/>
    <col min="193" max="193" width="12.36328125" bestFit="1" customWidth="1"/>
    <col min="194" max="194" width="9.6328125" bestFit="1" customWidth="1"/>
    <col min="195" max="195" width="11.90625" bestFit="1" customWidth="1"/>
    <col min="196" max="196" width="9.6328125" bestFit="1" customWidth="1"/>
    <col min="197" max="197" width="12.6328125" bestFit="1" customWidth="1"/>
    <col min="198" max="198" width="9.6328125" bestFit="1" customWidth="1"/>
    <col min="199" max="199" width="12.36328125" bestFit="1" customWidth="1"/>
    <col min="200" max="200" width="9.6328125" bestFit="1" customWidth="1"/>
    <col min="201" max="201" width="13.6328125" bestFit="1" customWidth="1"/>
    <col min="202" max="202" width="9.6328125" bestFit="1" customWidth="1"/>
    <col min="203" max="203" width="13.36328125" bestFit="1" customWidth="1"/>
    <col min="204" max="204" width="9.6328125" bestFit="1" customWidth="1"/>
    <col min="205" max="205" width="12.08984375" bestFit="1" customWidth="1"/>
    <col min="206" max="206" width="9.6328125" bestFit="1" customWidth="1"/>
    <col min="207" max="207" width="11.6328125" bestFit="1" customWidth="1"/>
    <col min="208" max="208" width="9.6328125" bestFit="1" customWidth="1"/>
    <col min="209" max="209" width="10" bestFit="1" customWidth="1"/>
    <col min="210" max="210" width="9.6328125" bestFit="1" customWidth="1"/>
    <col min="211" max="212" width="10" bestFit="1" customWidth="1"/>
    <col min="213" max="213" width="9.6328125" bestFit="1" customWidth="1"/>
    <col min="214" max="214" width="13.54296875" bestFit="1" customWidth="1"/>
    <col min="215" max="215" width="9.6328125" bestFit="1" customWidth="1"/>
    <col min="216" max="216" width="13.36328125" bestFit="1" customWidth="1"/>
    <col min="217" max="217" width="9.6328125" bestFit="1" customWidth="1"/>
    <col min="218" max="218" width="11.6328125" bestFit="1" customWidth="1"/>
    <col min="219" max="219" width="9.6328125" bestFit="1" customWidth="1"/>
    <col min="220" max="220" width="11.36328125" bestFit="1" customWidth="1"/>
    <col min="221" max="221" width="9.6328125" bestFit="1" customWidth="1"/>
    <col min="222" max="222" width="12.36328125" bestFit="1" customWidth="1"/>
    <col min="223" max="223" width="9.6328125" bestFit="1" customWidth="1"/>
    <col min="224" max="224" width="11.90625" bestFit="1" customWidth="1"/>
    <col min="225" max="225" width="9.6328125" bestFit="1" customWidth="1"/>
    <col min="226" max="226" width="11.36328125" bestFit="1" customWidth="1"/>
    <col min="227" max="227" width="9.6328125" bestFit="1" customWidth="1"/>
    <col min="228" max="228" width="11" bestFit="1" customWidth="1"/>
    <col min="229" max="229" width="9.6328125" bestFit="1" customWidth="1"/>
    <col min="230" max="230" width="13.453125" bestFit="1" customWidth="1"/>
    <col min="231" max="231" width="9.6328125" bestFit="1" customWidth="1"/>
    <col min="232" max="232" width="13.08984375" bestFit="1" customWidth="1"/>
    <col min="233" max="233" width="9.6328125" bestFit="1" customWidth="1"/>
    <col min="234" max="234" width="17" bestFit="1" customWidth="1"/>
    <col min="235" max="235" width="9.6328125" bestFit="1" customWidth="1"/>
    <col min="236" max="236" width="16.6328125" bestFit="1" customWidth="1"/>
    <col min="237" max="237" width="9.6328125" bestFit="1" customWidth="1"/>
    <col min="238" max="238" width="18.08984375" bestFit="1" customWidth="1"/>
    <col min="239" max="239" width="9.6328125" bestFit="1" customWidth="1"/>
    <col min="240" max="240" width="17.6328125" bestFit="1" customWidth="1"/>
    <col min="241" max="241" width="9.6328125" bestFit="1" customWidth="1"/>
    <col min="242" max="242" width="25.90625" bestFit="1" customWidth="1"/>
    <col min="243" max="243" width="9.6328125" bestFit="1" customWidth="1"/>
    <col min="244" max="244" width="25.54296875" bestFit="1" customWidth="1"/>
    <col min="245" max="245" width="9.6328125" bestFit="1" customWidth="1"/>
    <col min="246" max="246" width="27.08984375" bestFit="1" customWidth="1"/>
    <col min="247" max="247" width="9.6328125" bestFit="1" customWidth="1"/>
    <col min="248" max="248" width="26.6328125" bestFit="1" customWidth="1"/>
    <col min="249" max="249" width="9.6328125" bestFit="1" customWidth="1"/>
    <col min="250" max="250" width="18.6328125" bestFit="1" customWidth="1"/>
    <col min="251" max="251" width="9.6328125" bestFit="1" customWidth="1"/>
    <col min="252" max="252" width="18.36328125" bestFit="1" customWidth="1"/>
    <col min="253" max="253" width="9.6328125" bestFit="1" customWidth="1"/>
    <col min="254" max="254" width="37.36328125" bestFit="1" customWidth="1"/>
    <col min="255" max="255" width="9.6328125" bestFit="1" customWidth="1"/>
    <col min="256" max="256" width="37" bestFit="1" customWidth="1"/>
    <col min="257" max="257" width="9.6328125" bestFit="1" customWidth="1"/>
    <col min="258" max="258" width="18.08984375" bestFit="1" customWidth="1"/>
    <col min="259" max="259" width="9.6328125" bestFit="1" customWidth="1"/>
    <col min="260" max="260" width="17.6328125" bestFit="1" customWidth="1"/>
    <col min="261" max="261" width="9.6328125" bestFit="1" customWidth="1"/>
    <col min="262" max="262" width="26" bestFit="1" customWidth="1"/>
    <col min="263" max="263" width="9.6328125" bestFit="1" customWidth="1"/>
    <col min="264" max="264" width="25.6328125" bestFit="1" customWidth="1"/>
    <col min="265" max="265" width="9.6328125" bestFit="1" customWidth="1"/>
    <col min="266" max="266" width="17.36328125" bestFit="1" customWidth="1"/>
    <col min="267" max="267" width="9.6328125" bestFit="1" customWidth="1"/>
    <col min="268" max="268" width="16.90625" bestFit="1" customWidth="1"/>
    <col min="269" max="269" width="9.6328125" bestFit="1" customWidth="1"/>
    <col min="270" max="270" width="12.453125" bestFit="1" customWidth="1"/>
    <col min="271" max="271" width="9.6328125" bestFit="1" customWidth="1"/>
    <col min="272" max="272" width="12.08984375" bestFit="1" customWidth="1"/>
    <col min="273" max="273" width="9.6328125" bestFit="1" customWidth="1"/>
    <col min="274" max="274" width="31.54296875" bestFit="1" customWidth="1"/>
    <col min="275" max="275" width="9.6328125" bestFit="1" customWidth="1"/>
    <col min="276" max="276" width="31.36328125" bestFit="1" customWidth="1"/>
    <col min="277" max="277" width="9.6328125" bestFit="1" customWidth="1"/>
    <col min="278" max="278" width="21.54296875" bestFit="1" customWidth="1"/>
    <col min="279" max="279" width="9.6328125" bestFit="1" customWidth="1"/>
    <col min="280" max="280" width="21.08984375" bestFit="1" customWidth="1"/>
    <col min="281" max="281" width="9.6328125" bestFit="1" customWidth="1"/>
    <col min="282" max="282" width="15" bestFit="1" customWidth="1"/>
    <col min="283" max="283" width="9.6328125" bestFit="1" customWidth="1"/>
    <col min="284" max="284" width="14.6328125" bestFit="1" customWidth="1"/>
    <col min="285" max="285" width="9.6328125" bestFit="1" customWidth="1"/>
    <col min="286" max="286" width="12.36328125" bestFit="1" customWidth="1"/>
    <col min="287" max="287" width="9.6328125" bestFit="1" customWidth="1"/>
    <col min="288" max="288" width="11.90625" bestFit="1" customWidth="1"/>
    <col min="289" max="289" width="9.6328125" bestFit="1" customWidth="1"/>
    <col min="290" max="290" width="22.6328125" bestFit="1" customWidth="1"/>
    <col min="291" max="291" width="9.6328125" bestFit="1" customWidth="1"/>
    <col min="292" max="292" width="22.36328125" bestFit="1" customWidth="1"/>
    <col min="293" max="293" width="9.6328125" bestFit="1" customWidth="1"/>
    <col min="294" max="294" width="32.54296875" bestFit="1" customWidth="1"/>
    <col min="295" max="295" width="9.6328125" bestFit="1" customWidth="1"/>
    <col min="296" max="296" width="32.36328125" bestFit="1" customWidth="1"/>
    <col min="297" max="297" width="9.6328125" bestFit="1" customWidth="1"/>
    <col min="298" max="298" width="33.6328125" bestFit="1" customWidth="1"/>
    <col min="299" max="299" width="9.6328125" bestFit="1" customWidth="1"/>
    <col min="300" max="300" width="33.36328125" bestFit="1" customWidth="1"/>
    <col min="301" max="301" width="9.6328125" bestFit="1" customWidth="1"/>
    <col min="302" max="302" width="23" bestFit="1" customWidth="1"/>
    <col min="303" max="303" width="9.6328125" bestFit="1" customWidth="1"/>
    <col min="304" max="304" width="22.6328125" bestFit="1" customWidth="1"/>
    <col min="305" max="305" width="9.6328125" bestFit="1" customWidth="1"/>
    <col min="306" max="306" width="26" bestFit="1" customWidth="1"/>
    <col min="307" max="307" width="9.6328125" bestFit="1" customWidth="1"/>
    <col min="308" max="308" width="25.6328125" bestFit="1" customWidth="1"/>
    <col min="309" max="309" width="9.6328125" bestFit="1" customWidth="1"/>
    <col min="310" max="310" width="25.54296875" bestFit="1" customWidth="1"/>
    <col min="311" max="311" width="9.6328125" bestFit="1" customWidth="1"/>
    <col min="312" max="312" width="25.08984375" bestFit="1" customWidth="1"/>
    <col min="313" max="313" width="9.6328125" bestFit="1" customWidth="1"/>
    <col min="314" max="314" width="24.08984375" bestFit="1" customWidth="1"/>
    <col min="315" max="315" width="9.6328125" bestFit="1" customWidth="1"/>
    <col min="316" max="316" width="23.6328125" bestFit="1" customWidth="1"/>
    <col min="317" max="317" width="9.6328125" bestFit="1" customWidth="1"/>
    <col min="318" max="318" width="26.6328125" bestFit="1" customWidth="1"/>
    <col min="319" max="319" width="9.6328125" bestFit="1" customWidth="1"/>
    <col min="320" max="320" width="26.36328125" bestFit="1" customWidth="1"/>
    <col min="321" max="321" width="9.6328125" bestFit="1" customWidth="1"/>
    <col min="322" max="322" width="35.54296875" bestFit="1" customWidth="1"/>
    <col min="323" max="323" width="9.6328125" bestFit="1" customWidth="1"/>
    <col min="324" max="324" width="35.36328125" bestFit="1" customWidth="1"/>
    <col min="325" max="325" width="9.6328125" bestFit="1" customWidth="1"/>
    <col min="326" max="326" width="18.36328125" bestFit="1" customWidth="1"/>
    <col min="327" max="327" width="9.6328125" bestFit="1" customWidth="1"/>
    <col min="328" max="328" width="18" bestFit="1" customWidth="1"/>
    <col min="329" max="329" width="9.6328125" bestFit="1" customWidth="1"/>
    <col min="330" max="330" width="44" bestFit="1" customWidth="1"/>
    <col min="331" max="331" width="9.6328125" bestFit="1" customWidth="1"/>
    <col min="332" max="332" width="43.6328125" bestFit="1" customWidth="1"/>
    <col min="333" max="333" width="9.6328125" bestFit="1" customWidth="1"/>
    <col min="334" max="334" width="16.453125" bestFit="1" customWidth="1"/>
    <col min="335" max="335" width="9.6328125" bestFit="1" customWidth="1"/>
    <col min="336" max="336" width="16.08984375" bestFit="1" customWidth="1"/>
    <col min="337" max="337" width="9.6328125" bestFit="1" customWidth="1"/>
    <col min="338" max="338" width="17.6328125" bestFit="1" customWidth="1"/>
    <col min="339" max="339" width="9.6328125" bestFit="1" customWidth="1"/>
    <col min="340" max="340" width="17.36328125" bestFit="1" customWidth="1"/>
    <col min="341" max="341" width="9.6328125" bestFit="1" customWidth="1"/>
    <col min="342" max="342" width="49.36328125" bestFit="1" customWidth="1"/>
    <col min="343" max="343" width="9.6328125" bestFit="1" customWidth="1"/>
    <col min="344" max="344" width="49" bestFit="1" customWidth="1"/>
    <col min="345" max="345" width="9.6328125" bestFit="1" customWidth="1"/>
    <col min="346" max="346" width="23.453125" bestFit="1" customWidth="1"/>
    <col min="347" max="347" width="9.6328125" bestFit="1" customWidth="1"/>
    <col min="348" max="348" width="23.08984375" bestFit="1" customWidth="1"/>
    <col min="349" max="349" width="9.6328125" bestFit="1" customWidth="1"/>
    <col min="350" max="350" width="10.6328125" bestFit="1" customWidth="1"/>
  </cols>
  <sheetData>
    <row r="1" spans="2:5" ht="12" customHeight="1"/>
    <row r="2" spans="2:5">
      <c r="B2" s="14" t="s">
        <v>52</v>
      </c>
      <c r="C2" s="14" t="s">
        <v>53</v>
      </c>
      <c r="D2" s="13" t="s">
        <v>52</v>
      </c>
      <c r="E2" s="13" t="s">
        <v>53</v>
      </c>
    </row>
    <row r="3" spans="2:5">
      <c r="B3" s="15" t="s">
        <v>23</v>
      </c>
      <c r="C3" s="16" t="s">
        <v>213</v>
      </c>
      <c r="D3" s="12" t="s">
        <v>29</v>
      </c>
      <c r="E3" t="s">
        <v>217</v>
      </c>
    </row>
    <row r="4" spans="2:5">
      <c r="B4" s="15" t="s">
        <v>30</v>
      </c>
      <c r="C4" s="16" t="s">
        <v>214</v>
      </c>
      <c r="D4" s="12" t="s">
        <v>31</v>
      </c>
      <c r="E4" t="s">
        <v>218</v>
      </c>
    </row>
    <row r="5" spans="2:5">
      <c r="B5" s="15" t="s">
        <v>32</v>
      </c>
      <c r="C5" s="16" t="s">
        <v>215</v>
      </c>
      <c r="D5" s="12" t="s">
        <v>34</v>
      </c>
      <c r="E5" t="s">
        <v>219</v>
      </c>
    </row>
    <row r="6" spans="2:5">
      <c r="B6" s="15" t="s">
        <v>58</v>
      </c>
      <c r="C6" s="16" t="s">
        <v>216</v>
      </c>
      <c r="D6" s="12" t="s">
        <v>60</v>
      </c>
      <c r="E6" t="s">
        <v>220</v>
      </c>
    </row>
    <row r="7" spans="2:5">
      <c r="B7" s="15">
        <v>1011</v>
      </c>
      <c r="C7" s="16" t="s">
        <v>62</v>
      </c>
      <c r="D7">
        <v>1012</v>
      </c>
      <c r="E7" t="s">
        <v>37</v>
      </c>
    </row>
    <row r="8" spans="2:5">
      <c r="B8" s="15">
        <v>1031</v>
      </c>
      <c r="C8" s="16" t="s">
        <v>36</v>
      </c>
      <c r="D8">
        <v>1032</v>
      </c>
      <c r="E8" t="s">
        <v>63</v>
      </c>
    </row>
    <row r="9" spans="2:5">
      <c r="B9" s="15">
        <v>1051</v>
      </c>
      <c r="C9" s="16" t="s">
        <v>64</v>
      </c>
      <c r="D9">
        <v>1052</v>
      </c>
      <c r="E9" t="s">
        <v>65</v>
      </c>
    </row>
    <row r="10" spans="2:5">
      <c r="B10" s="15">
        <v>1071</v>
      </c>
      <c r="C10" s="16" t="s">
        <v>66</v>
      </c>
      <c r="D10">
        <v>1072</v>
      </c>
      <c r="E10" t="s">
        <v>67</v>
      </c>
    </row>
    <row r="11" spans="2:5">
      <c r="B11" s="15">
        <v>1111</v>
      </c>
      <c r="C11" s="16" t="s">
        <v>68</v>
      </c>
      <c r="D11">
        <v>1112</v>
      </c>
      <c r="E11" t="s">
        <v>69</v>
      </c>
    </row>
    <row r="12" spans="2:5">
      <c r="B12" s="15">
        <v>1151</v>
      </c>
      <c r="C12" s="16" t="s">
        <v>70</v>
      </c>
      <c r="D12">
        <v>1152</v>
      </c>
      <c r="E12" t="s">
        <v>71</v>
      </c>
    </row>
    <row r="13" spans="2:5">
      <c r="B13" s="15">
        <v>1191</v>
      </c>
      <c r="C13" s="16" t="s">
        <v>72</v>
      </c>
      <c r="D13">
        <v>1192</v>
      </c>
      <c r="E13" t="s">
        <v>73</v>
      </c>
    </row>
    <row r="14" spans="2:5">
      <c r="B14" s="15">
        <v>1211</v>
      </c>
      <c r="C14" s="16" t="s">
        <v>74</v>
      </c>
      <c r="D14">
        <v>1212</v>
      </c>
      <c r="E14" t="s">
        <v>75</v>
      </c>
    </row>
    <row r="15" spans="2:5">
      <c r="B15" s="15">
        <v>1231</v>
      </c>
      <c r="C15" s="16" t="s">
        <v>76</v>
      </c>
      <c r="D15">
        <v>1232</v>
      </c>
      <c r="E15" t="s">
        <v>77</v>
      </c>
    </row>
    <row r="16" spans="2:5">
      <c r="B16" s="15">
        <v>1251</v>
      </c>
      <c r="C16" s="16" t="s">
        <v>78</v>
      </c>
      <c r="D16">
        <v>1252</v>
      </c>
      <c r="E16" t="s">
        <v>79</v>
      </c>
    </row>
    <row r="17" spans="2:5">
      <c r="B17" s="15">
        <v>1271</v>
      </c>
      <c r="C17" s="16" t="s">
        <v>80</v>
      </c>
      <c r="D17">
        <v>1272</v>
      </c>
      <c r="E17" t="s">
        <v>81</v>
      </c>
    </row>
    <row r="18" spans="2:5">
      <c r="B18" s="15">
        <v>1291</v>
      </c>
      <c r="C18" s="16" t="s">
        <v>82</v>
      </c>
      <c r="D18">
        <v>1292</v>
      </c>
      <c r="E18" t="s">
        <v>83</v>
      </c>
    </row>
    <row r="19" spans="2:5">
      <c r="B19" s="15">
        <v>1311</v>
      </c>
      <c r="C19" s="16" t="s">
        <v>84</v>
      </c>
      <c r="D19">
        <v>1312</v>
      </c>
      <c r="E19" t="s">
        <v>85</v>
      </c>
    </row>
    <row r="20" spans="2:5">
      <c r="B20" s="15">
        <v>2011</v>
      </c>
      <c r="C20" s="16" t="s">
        <v>86</v>
      </c>
      <c r="D20">
        <v>2012</v>
      </c>
      <c r="E20" t="s">
        <v>87</v>
      </c>
    </row>
    <row r="21" spans="2:5">
      <c r="B21" s="15">
        <v>2031</v>
      </c>
      <c r="C21" s="16" t="s">
        <v>88</v>
      </c>
      <c r="D21">
        <v>2032</v>
      </c>
      <c r="E21" t="s">
        <v>89</v>
      </c>
    </row>
    <row r="22" spans="2:5">
      <c r="B22" s="15">
        <v>2051</v>
      </c>
      <c r="C22" s="16" t="s">
        <v>90</v>
      </c>
      <c r="D22">
        <v>2052</v>
      </c>
      <c r="E22" t="s">
        <v>91</v>
      </c>
    </row>
    <row r="23" spans="2:5">
      <c r="B23" s="15">
        <v>2071</v>
      </c>
      <c r="C23" s="16" t="s">
        <v>92</v>
      </c>
      <c r="D23">
        <v>2072</v>
      </c>
      <c r="E23" t="s">
        <v>93</v>
      </c>
    </row>
    <row r="24" spans="2:5">
      <c r="B24" s="15">
        <v>2111</v>
      </c>
      <c r="C24" s="16" t="s">
        <v>94</v>
      </c>
      <c r="D24">
        <v>2112</v>
      </c>
      <c r="E24" t="s">
        <v>95</v>
      </c>
    </row>
    <row r="25" spans="2:5">
      <c r="B25" s="15">
        <v>2131</v>
      </c>
      <c r="C25" s="16" t="s">
        <v>96</v>
      </c>
      <c r="D25">
        <v>2132</v>
      </c>
      <c r="E25" t="s">
        <v>97</v>
      </c>
    </row>
    <row r="26" spans="2:5">
      <c r="B26" s="15">
        <v>2151</v>
      </c>
      <c r="C26" s="16" t="s">
        <v>38</v>
      </c>
      <c r="D26">
        <v>2152</v>
      </c>
      <c r="E26" t="s">
        <v>39</v>
      </c>
    </row>
    <row r="27" spans="2:5">
      <c r="B27" s="15">
        <v>2171</v>
      </c>
      <c r="C27" s="16" t="s">
        <v>98</v>
      </c>
      <c r="D27">
        <v>2172</v>
      </c>
      <c r="E27" t="s">
        <v>99</v>
      </c>
    </row>
    <row r="28" spans="2:5">
      <c r="B28" s="15">
        <v>2191</v>
      </c>
      <c r="C28" s="16" t="s">
        <v>100</v>
      </c>
      <c r="D28">
        <v>2192</v>
      </c>
      <c r="E28" t="s">
        <v>101</v>
      </c>
    </row>
    <row r="29" spans="2:5">
      <c r="B29" s="15">
        <v>2211</v>
      </c>
      <c r="C29" s="16" t="s">
        <v>102</v>
      </c>
      <c r="D29">
        <v>2212</v>
      </c>
      <c r="E29" t="s">
        <v>103</v>
      </c>
    </row>
    <row r="30" spans="2:5">
      <c r="B30" s="15">
        <v>2231</v>
      </c>
      <c r="C30" s="16" t="s">
        <v>104</v>
      </c>
      <c r="D30">
        <v>2232</v>
      </c>
      <c r="E30" t="s">
        <v>105</v>
      </c>
    </row>
    <row r="31" spans="2:5">
      <c r="B31" s="15">
        <v>2251</v>
      </c>
      <c r="C31" s="16" t="s">
        <v>106</v>
      </c>
      <c r="D31">
        <v>2252</v>
      </c>
      <c r="E31" t="s">
        <v>107</v>
      </c>
    </row>
    <row r="32" spans="2:5">
      <c r="B32" s="15">
        <v>2271</v>
      </c>
      <c r="C32" s="16" t="s">
        <v>108</v>
      </c>
      <c r="D32">
        <v>2272</v>
      </c>
      <c r="E32" t="s">
        <v>109</v>
      </c>
    </row>
    <row r="33" spans="2:5">
      <c r="B33" s="15">
        <v>2291</v>
      </c>
      <c r="C33" s="16" t="s">
        <v>110</v>
      </c>
      <c r="D33">
        <v>2292</v>
      </c>
      <c r="E33" t="s">
        <v>111</v>
      </c>
    </row>
    <row r="34" spans="2:5">
      <c r="B34" s="15">
        <v>2311</v>
      </c>
      <c r="C34" s="16" t="s">
        <v>112</v>
      </c>
      <c r="D34">
        <v>2312</v>
      </c>
      <c r="E34" t="s">
        <v>113</v>
      </c>
    </row>
    <row r="35" spans="2:5">
      <c r="B35" s="15">
        <v>2011</v>
      </c>
      <c r="C35" s="16" t="s">
        <v>86</v>
      </c>
      <c r="D35">
        <v>2012</v>
      </c>
      <c r="E35" t="s">
        <v>87</v>
      </c>
    </row>
    <row r="36" spans="2:5">
      <c r="B36" s="15">
        <v>2031</v>
      </c>
      <c r="C36" s="16" t="s">
        <v>88</v>
      </c>
      <c r="D36">
        <v>2032</v>
      </c>
      <c r="E36" t="s">
        <v>89</v>
      </c>
    </row>
    <row r="37" spans="2:5">
      <c r="B37" s="15">
        <v>2051</v>
      </c>
      <c r="C37" s="16" t="s">
        <v>90</v>
      </c>
      <c r="D37">
        <v>2052</v>
      </c>
      <c r="E37" t="s">
        <v>91</v>
      </c>
    </row>
    <row r="38" spans="2:5">
      <c r="B38" s="15">
        <v>2071</v>
      </c>
      <c r="C38" s="16" t="s">
        <v>92</v>
      </c>
      <c r="D38">
        <v>2072</v>
      </c>
      <c r="E38" t="s">
        <v>93</v>
      </c>
    </row>
    <row r="39" spans="2:5">
      <c r="B39" s="15">
        <v>2111</v>
      </c>
      <c r="C39" s="16" t="s">
        <v>94</v>
      </c>
      <c r="D39">
        <v>2112</v>
      </c>
      <c r="E39" t="s">
        <v>95</v>
      </c>
    </row>
    <row r="40" spans="2:5">
      <c r="B40" s="15">
        <v>2131</v>
      </c>
      <c r="C40" s="16" t="s">
        <v>96</v>
      </c>
      <c r="D40">
        <v>2132</v>
      </c>
      <c r="E40" t="s">
        <v>97</v>
      </c>
    </row>
    <row r="41" spans="2:5">
      <c r="B41" s="15">
        <v>2151</v>
      </c>
      <c r="C41" s="16" t="s">
        <v>38</v>
      </c>
      <c r="D41">
        <v>2152</v>
      </c>
      <c r="E41" t="s">
        <v>39</v>
      </c>
    </row>
    <row r="42" spans="2:5">
      <c r="B42" s="15">
        <v>2171</v>
      </c>
      <c r="C42" s="16" t="s">
        <v>98</v>
      </c>
      <c r="D42">
        <v>2172</v>
      </c>
      <c r="E42" t="s">
        <v>99</v>
      </c>
    </row>
    <row r="43" spans="2:5">
      <c r="B43" s="15">
        <v>2191</v>
      </c>
      <c r="C43" s="16" t="s">
        <v>100</v>
      </c>
      <c r="D43">
        <v>2192</v>
      </c>
      <c r="E43" t="s">
        <v>101</v>
      </c>
    </row>
    <row r="44" spans="2:5">
      <c r="B44" s="15">
        <v>2211</v>
      </c>
      <c r="C44" s="16" t="s">
        <v>102</v>
      </c>
      <c r="D44">
        <v>2212</v>
      </c>
      <c r="E44" t="s">
        <v>103</v>
      </c>
    </row>
    <row r="45" spans="2:5">
      <c r="B45" s="15">
        <v>2231</v>
      </c>
      <c r="C45" s="16" t="s">
        <v>104</v>
      </c>
      <c r="D45">
        <v>2232</v>
      </c>
      <c r="E45" t="s">
        <v>105</v>
      </c>
    </row>
    <row r="46" spans="2:5">
      <c r="B46" s="15">
        <v>2251</v>
      </c>
      <c r="C46" s="16" t="s">
        <v>106</v>
      </c>
      <c r="D46">
        <v>2252</v>
      </c>
      <c r="E46" t="s">
        <v>107</v>
      </c>
    </row>
    <row r="47" spans="2:5">
      <c r="B47" s="15">
        <v>2271</v>
      </c>
      <c r="C47" s="16" t="s">
        <v>108</v>
      </c>
      <c r="D47">
        <v>2272</v>
      </c>
      <c r="E47" t="s">
        <v>109</v>
      </c>
    </row>
    <row r="48" spans="2:5">
      <c r="B48" s="15">
        <v>2291</v>
      </c>
      <c r="C48" s="16" t="s">
        <v>110</v>
      </c>
      <c r="D48">
        <v>2292</v>
      </c>
      <c r="E48" t="s">
        <v>111</v>
      </c>
    </row>
    <row r="49" spans="2:5">
      <c r="B49" s="15">
        <v>2311</v>
      </c>
      <c r="C49" s="16" t="s">
        <v>112</v>
      </c>
      <c r="D49">
        <v>2312</v>
      </c>
      <c r="E49" t="s">
        <v>113</v>
      </c>
    </row>
    <row r="50" spans="2:5">
      <c r="B50" s="15">
        <v>3011</v>
      </c>
      <c r="C50" s="16" t="s">
        <v>114</v>
      </c>
      <c r="D50">
        <v>3012</v>
      </c>
      <c r="E50" t="s">
        <v>115</v>
      </c>
    </row>
    <row r="51" spans="2:5">
      <c r="B51" s="15">
        <v>3031</v>
      </c>
      <c r="C51" s="16" t="s">
        <v>40</v>
      </c>
      <c r="D51">
        <v>3032</v>
      </c>
      <c r="E51" t="s">
        <v>41</v>
      </c>
    </row>
    <row r="52" spans="2:5">
      <c r="B52" s="15">
        <v>3051</v>
      </c>
      <c r="C52" s="16" t="s">
        <v>116</v>
      </c>
      <c r="D52">
        <v>3052</v>
      </c>
      <c r="E52" t="s">
        <v>117</v>
      </c>
    </row>
    <row r="53" spans="2:5">
      <c r="B53" s="15">
        <v>3071</v>
      </c>
      <c r="C53" s="16" t="s">
        <v>118</v>
      </c>
      <c r="D53">
        <v>3072</v>
      </c>
      <c r="E53" t="s">
        <v>119</v>
      </c>
    </row>
    <row r="54" spans="2:5">
      <c r="B54" s="15">
        <v>3091</v>
      </c>
      <c r="C54" s="16" t="s">
        <v>120</v>
      </c>
      <c r="D54">
        <v>3092</v>
      </c>
      <c r="E54" t="s">
        <v>121</v>
      </c>
    </row>
    <row r="55" spans="2:5">
      <c r="B55" s="15">
        <v>3111</v>
      </c>
      <c r="C55" s="16" t="s">
        <v>122</v>
      </c>
      <c r="D55">
        <v>3112</v>
      </c>
      <c r="E55" t="s">
        <v>123</v>
      </c>
    </row>
    <row r="56" spans="2:5">
      <c r="B56" s="15">
        <v>3131</v>
      </c>
      <c r="C56" s="16" t="s">
        <v>124</v>
      </c>
      <c r="D56">
        <v>3132</v>
      </c>
      <c r="E56" t="s">
        <v>125</v>
      </c>
    </row>
    <row r="57" spans="2:5">
      <c r="B57" s="15">
        <v>3151</v>
      </c>
      <c r="C57" s="16" t="s">
        <v>126</v>
      </c>
      <c r="D57">
        <v>3152</v>
      </c>
      <c r="E57" t="s">
        <v>127</v>
      </c>
    </row>
    <row r="58" spans="2:5">
      <c r="B58" s="15">
        <v>3171</v>
      </c>
      <c r="C58" s="16" t="s">
        <v>128</v>
      </c>
      <c r="D58">
        <v>3172</v>
      </c>
      <c r="E58" t="s">
        <v>129</v>
      </c>
    </row>
    <row r="59" spans="2:5">
      <c r="B59" s="15">
        <v>3211</v>
      </c>
      <c r="C59" s="16" t="s">
        <v>130</v>
      </c>
      <c r="D59">
        <v>3212</v>
      </c>
      <c r="E59" t="s">
        <v>131</v>
      </c>
    </row>
    <row r="60" spans="2:5">
      <c r="B60" s="15">
        <v>3231</v>
      </c>
      <c r="C60" s="16" t="s">
        <v>132</v>
      </c>
      <c r="D60">
        <v>3232</v>
      </c>
      <c r="E60" t="s">
        <v>133</v>
      </c>
    </row>
    <row r="61" spans="2:5">
      <c r="B61" s="15">
        <v>3251</v>
      </c>
      <c r="C61" s="16" t="s">
        <v>134</v>
      </c>
      <c r="D61">
        <v>3252</v>
      </c>
      <c r="E61" t="s">
        <v>135</v>
      </c>
    </row>
    <row r="62" spans="2:5">
      <c r="B62" s="15">
        <v>3271</v>
      </c>
      <c r="C62" s="16" t="s">
        <v>136</v>
      </c>
      <c r="D62">
        <v>3272</v>
      </c>
      <c r="E62" t="s">
        <v>137</v>
      </c>
    </row>
    <row r="63" spans="2:5">
      <c r="B63" s="15">
        <v>3291</v>
      </c>
      <c r="C63" s="16" t="s">
        <v>138</v>
      </c>
      <c r="D63">
        <v>3292</v>
      </c>
      <c r="E63" t="s">
        <v>139</v>
      </c>
    </row>
    <row r="64" spans="2:5">
      <c r="B64" s="15">
        <v>3311</v>
      </c>
      <c r="C64" s="16" t="s">
        <v>54</v>
      </c>
      <c r="D64">
        <v>3312</v>
      </c>
      <c r="E64" t="s">
        <v>55</v>
      </c>
    </row>
    <row r="65" spans="2:5">
      <c r="B65" s="15">
        <v>3331</v>
      </c>
      <c r="C65" s="16" t="s">
        <v>56</v>
      </c>
      <c r="D65">
        <v>3332</v>
      </c>
      <c r="E65" t="s">
        <v>57</v>
      </c>
    </row>
    <row r="66" spans="2:5">
      <c r="B66" s="15">
        <v>3351</v>
      </c>
      <c r="C66" s="16" t="s">
        <v>140</v>
      </c>
      <c r="D66">
        <v>3352</v>
      </c>
      <c r="E66" t="s">
        <v>141</v>
      </c>
    </row>
    <row r="67" spans="2:5">
      <c r="B67" s="15">
        <v>3371</v>
      </c>
      <c r="C67" s="16" t="s">
        <v>142</v>
      </c>
      <c r="D67">
        <v>3372</v>
      </c>
      <c r="E67" t="s">
        <v>143</v>
      </c>
    </row>
    <row r="68" spans="2:5">
      <c r="B68" s="15">
        <v>3391</v>
      </c>
      <c r="C68" s="16" t="s">
        <v>144</v>
      </c>
      <c r="D68">
        <v>3392</v>
      </c>
      <c r="E68" t="s">
        <v>145</v>
      </c>
    </row>
    <row r="69" spans="2:5">
      <c r="B69" s="15">
        <v>3411</v>
      </c>
      <c r="C69" s="16" t="s">
        <v>146</v>
      </c>
      <c r="D69">
        <v>3412</v>
      </c>
      <c r="E69" t="s">
        <v>147</v>
      </c>
    </row>
    <row r="70" spans="2:5">
      <c r="B70" s="15">
        <v>3431</v>
      </c>
      <c r="C70" s="16" t="s">
        <v>148</v>
      </c>
      <c r="D70">
        <v>3432</v>
      </c>
      <c r="E70" t="s">
        <v>149</v>
      </c>
    </row>
    <row r="71" spans="2:5">
      <c r="B71" s="15">
        <v>3451</v>
      </c>
      <c r="C71" s="16" t="s">
        <v>150</v>
      </c>
      <c r="D71">
        <v>3452</v>
      </c>
      <c r="E71" t="s">
        <v>151</v>
      </c>
    </row>
    <row r="72" spans="2:5">
      <c r="B72" s="15">
        <v>3471</v>
      </c>
      <c r="C72" s="16" t="s">
        <v>152</v>
      </c>
      <c r="D72">
        <v>3472</v>
      </c>
      <c r="E72" t="s">
        <v>153</v>
      </c>
    </row>
    <row r="73" spans="2:5">
      <c r="B73" s="15">
        <v>3491</v>
      </c>
      <c r="C73" s="16" t="s">
        <v>154</v>
      </c>
      <c r="D73">
        <v>3492</v>
      </c>
      <c r="E73" t="s">
        <v>155</v>
      </c>
    </row>
    <row r="74" spans="2:5">
      <c r="B74" s="15">
        <v>3511</v>
      </c>
      <c r="C74" s="16" t="s">
        <v>156</v>
      </c>
      <c r="D74">
        <v>3512</v>
      </c>
      <c r="E74" t="s">
        <v>157</v>
      </c>
    </row>
    <row r="75" spans="2:5">
      <c r="B75" s="15">
        <v>3531</v>
      </c>
      <c r="C75" s="16" t="s">
        <v>158</v>
      </c>
      <c r="D75">
        <v>3532</v>
      </c>
      <c r="E75" t="s">
        <v>159</v>
      </c>
    </row>
    <row r="76" spans="2:5">
      <c r="B76" s="15">
        <v>3551</v>
      </c>
      <c r="C76" s="16" t="s">
        <v>160</v>
      </c>
      <c r="D76">
        <v>3552</v>
      </c>
      <c r="E76" t="s">
        <v>161</v>
      </c>
    </row>
    <row r="77" spans="2:5">
      <c r="B77" s="15">
        <v>3571</v>
      </c>
      <c r="C77" s="16" t="s">
        <v>162</v>
      </c>
      <c r="D77">
        <v>3572</v>
      </c>
      <c r="E77" t="s">
        <v>163</v>
      </c>
    </row>
    <row r="78" spans="2:5">
      <c r="B78" s="15">
        <v>3591</v>
      </c>
      <c r="C78" s="16" t="s">
        <v>164</v>
      </c>
      <c r="D78">
        <v>3592</v>
      </c>
      <c r="E78" t="s">
        <v>165</v>
      </c>
    </row>
    <row r="79" spans="2:5">
      <c r="B79" s="15">
        <v>3611</v>
      </c>
      <c r="C79" s="16" t="s">
        <v>166</v>
      </c>
      <c r="D79">
        <v>3612</v>
      </c>
      <c r="E79" t="s">
        <v>167</v>
      </c>
    </row>
    <row r="80" spans="2:5">
      <c r="B80" s="15">
        <v>3011</v>
      </c>
      <c r="C80" s="16" t="s">
        <v>114</v>
      </c>
      <c r="D80">
        <v>3012</v>
      </c>
      <c r="E80" t="s">
        <v>115</v>
      </c>
    </row>
    <row r="81" spans="2:5">
      <c r="B81" s="15">
        <v>3031</v>
      </c>
      <c r="C81" s="16" t="s">
        <v>40</v>
      </c>
      <c r="D81">
        <v>3032</v>
      </c>
      <c r="E81" t="s">
        <v>41</v>
      </c>
    </row>
    <row r="82" spans="2:5">
      <c r="B82" s="15">
        <v>3051</v>
      </c>
      <c r="C82" s="16" t="s">
        <v>116</v>
      </c>
      <c r="D82">
        <v>3052</v>
      </c>
      <c r="E82" t="s">
        <v>117</v>
      </c>
    </row>
    <row r="83" spans="2:5">
      <c r="B83" s="15">
        <v>3071</v>
      </c>
      <c r="C83" s="16" t="s">
        <v>118</v>
      </c>
      <c r="D83">
        <v>3072</v>
      </c>
      <c r="E83" t="s">
        <v>119</v>
      </c>
    </row>
    <row r="84" spans="2:5">
      <c r="B84" s="15">
        <v>3091</v>
      </c>
      <c r="C84" s="16" t="s">
        <v>120</v>
      </c>
      <c r="D84">
        <v>3092</v>
      </c>
      <c r="E84" t="s">
        <v>121</v>
      </c>
    </row>
    <row r="85" spans="2:5">
      <c r="B85" s="15">
        <v>3111</v>
      </c>
      <c r="C85" s="16" t="s">
        <v>122</v>
      </c>
      <c r="D85">
        <v>3112</v>
      </c>
      <c r="E85" t="s">
        <v>123</v>
      </c>
    </row>
    <row r="86" spans="2:5">
      <c r="B86" s="15">
        <v>3131</v>
      </c>
      <c r="C86" s="16" t="s">
        <v>124</v>
      </c>
      <c r="D86">
        <v>3132</v>
      </c>
      <c r="E86" t="s">
        <v>125</v>
      </c>
    </row>
    <row r="87" spans="2:5">
      <c r="B87" s="15">
        <v>3151</v>
      </c>
      <c r="C87" s="16" t="s">
        <v>126</v>
      </c>
      <c r="D87">
        <v>3152</v>
      </c>
      <c r="E87" t="s">
        <v>127</v>
      </c>
    </row>
    <row r="88" spans="2:5">
      <c r="B88" s="15">
        <v>3171</v>
      </c>
      <c r="C88" s="16" t="s">
        <v>128</v>
      </c>
      <c r="D88">
        <v>3172</v>
      </c>
      <c r="E88" t="s">
        <v>129</v>
      </c>
    </row>
    <row r="89" spans="2:5">
      <c r="B89" s="15">
        <v>3211</v>
      </c>
      <c r="C89" s="16" t="s">
        <v>130</v>
      </c>
      <c r="D89">
        <v>3212</v>
      </c>
      <c r="E89" t="s">
        <v>131</v>
      </c>
    </row>
    <row r="90" spans="2:5">
      <c r="B90" s="15">
        <v>3231</v>
      </c>
      <c r="C90" s="16" t="s">
        <v>132</v>
      </c>
      <c r="D90">
        <v>3232</v>
      </c>
      <c r="E90" t="s">
        <v>133</v>
      </c>
    </row>
    <row r="91" spans="2:5">
      <c r="B91" s="15">
        <v>3251</v>
      </c>
      <c r="C91" s="16" t="s">
        <v>134</v>
      </c>
      <c r="D91">
        <v>3252</v>
      </c>
      <c r="E91" t="s">
        <v>135</v>
      </c>
    </row>
    <row r="92" spans="2:5">
      <c r="B92" s="15">
        <v>3271</v>
      </c>
      <c r="C92" s="16" t="s">
        <v>136</v>
      </c>
      <c r="D92">
        <v>3272</v>
      </c>
      <c r="E92" t="s">
        <v>137</v>
      </c>
    </row>
    <row r="93" spans="2:5">
      <c r="B93" s="15">
        <v>3291</v>
      </c>
      <c r="C93" s="16" t="s">
        <v>138</v>
      </c>
      <c r="D93">
        <v>3292</v>
      </c>
      <c r="E93" t="s">
        <v>139</v>
      </c>
    </row>
    <row r="94" spans="2:5">
      <c r="B94" s="15">
        <v>3311</v>
      </c>
      <c r="C94" s="16" t="s">
        <v>54</v>
      </c>
      <c r="D94">
        <v>3312</v>
      </c>
      <c r="E94" t="s">
        <v>55</v>
      </c>
    </row>
    <row r="95" spans="2:5">
      <c r="B95" s="15">
        <v>3331</v>
      </c>
      <c r="C95" s="16" t="s">
        <v>56</v>
      </c>
      <c r="D95">
        <v>3332</v>
      </c>
      <c r="E95" t="s">
        <v>57</v>
      </c>
    </row>
    <row r="96" spans="2:5">
      <c r="B96" s="15">
        <v>3351</v>
      </c>
      <c r="C96" s="16" t="s">
        <v>140</v>
      </c>
      <c r="D96">
        <v>3352</v>
      </c>
      <c r="E96" t="s">
        <v>141</v>
      </c>
    </row>
    <row r="97" spans="2:5">
      <c r="B97" s="15">
        <v>3371</v>
      </c>
      <c r="C97" s="16" t="s">
        <v>142</v>
      </c>
      <c r="D97">
        <v>3372</v>
      </c>
      <c r="E97" t="s">
        <v>143</v>
      </c>
    </row>
    <row r="98" spans="2:5">
      <c r="B98" s="15">
        <v>3391</v>
      </c>
      <c r="C98" s="16" t="s">
        <v>144</v>
      </c>
      <c r="D98">
        <v>3392</v>
      </c>
      <c r="E98" t="s">
        <v>145</v>
      </c>
    </row>
    <row r="99" spans="2:5">
      <c r="B99" s="15">
        <v>3411</v>
      </c>
      <c r="C99" s="16" t="s">
        <v>146</v>
      </c>
      <c r="D99">
        <v>3412</v>
      </c>
      <c r="E99" t="s">
        <v>147</v>
      </c>
    </row>
    <row r="100" spans="2:5">
      <c r="B100" s="15">
        <v>3431</v>
      </c>
      <c r="C100" s="16" t="s">
        <v>148</v>
      </c>
      <c r="D100">
        <v>3432</v>
      </c>
      <c r="E100" t="s">
        <v>149</v>
      </c>
    </row>
    <row r="101" spans="2:5">
      <c r="B101" s="15">
        <v>3451</v>
      </c>
      <c r="C101" s="16" t="s">
        <v>150</v>
      </c>
      <c r="D101">
        <v>3452</v>
      </c>
      <c r="E101" t="s">
        <v>151</v>
      </c>
    </row>
    <row r="102" spans="2:5">
      <c r="B102" s="15">
        <v>3471</v>
      </c>
      <c r="C102" s="16" t="s">
        <v>152</v>
      </c>
      <c r="D102">
        <v>3472</v>
      </c>
      <c r="E102" t="s">
        <v>153</v>
      </c>
    </row>
    <row r="103" spans="2:5">
      <c r="B103" s="15">
        <v>3491</v>
      </c>
      <c r="C103" s="16" t="s">
        <v>154</v>
      </c>
      <c r="D103">
        <v>3492</v>
      </c>
      <c r="E103" t="s">
        <v>168</v>
      </c>
    </row>
    <row r="104" spans="2:5">
      <c r="B104" s="15">
        <v>3511</v>
      </c>
      <c r="C104" s="16" t="s">
        <v>156</v>
      </c>
      <c r="D104">
        <v>3512</v>
      </c>
      <c r="E104" t="s">
        <v>157</v>
      </c>
    </row>
    <row r="105" spans="2:5">
      <c r="B105" s="15">
        <v>3531</v>
      </c>
      <c r="C105" s="16" t="s">
        <v>158</v>
      </c>
      <c r="D105">
        <v>3532</v>
      </c>
      <c r="E105" t="s">
        <v>159</v>
      </c>
    </row>
    <row r="106" spans="2:5">
      <c r="B106" s="15">
        <v>3551</v>
      </c>
      <c r="C106" s="16" t="s">
        <v>160</v>
      </c>
      <c r="D106">
        <v>3552</v>
      </c>
      <c r="E106" t="s">
        <v>161</v>
      </c>
    </row>
    <row r="107" spans="2:5">
      <c r="B107" s="15">
        <v>3571</v>
      </c>
      <c r="C107" s="16" t="s">
        <v>162</v>
      </c>
      <c r="D107">
        <v>3572</v>
      </c>
      <c r="E107" t="s">
        <v>163</v>
      </c>
    </row>
    <row r="108" spans="2:5">
      <c r="B108" s="15">
        <v>3591</v>
      </c>
      <c r="C108" s="16" t="s">
        <v>164</v>
      </c>
      <c r="D108">
        <v>3592</v>
      </c>
      <c r="E108" t="s">
        <v>165</v>
      </c>
    </row>
    <row r="109" spans="2:5">
      <c r="B109" s="15">
        <v>3611</v>
      </c>
      <c r="C109" s="16" t="s">
        <v>166</v>
      </c>
      <c r="D109">
        <v>3612</v>
      </c>
      <c r="E109" t="s">
        <v>167</v>
      </c>
    </row>
    <row r="110" spans="2:5">
      <c r="B110" s="15">
        <v>4011</v>
      </c>
      <c r="C110" s="16" t="s">
        <v>59</v>
      </c>
      <c r="D110">
        <v>4012</v>
      </c>
      <c r="E110" t="s">
        <v>61</v>
      </c>
    </row>
    <row r="111" spans="2:5">
      <c r="B111" s="15">
        <v>4031</v>
      </c>
      <c r="C111" s="16" t="s">
        <v>169</v>
      </c>
      <c r="D111">
        <v>4032</v>
      </c>
      <c r="E111" t="s">
        <v>170</v>
      </c>
    </row>
    <row r="112" spans="2:5">
      <c r="B112" s="15">
        <v>4051</v>
      </c>
      <c r="C112" s="16" t="s">
        <v>171</v>
      </c>
      <c r="D112">
        <v>4052</v>
      </c>
      <c r="E112" t="s">
        <v>172</v>
      </c>
    </row>
    <row r="113" spans="2:5">
      <c r="B113" s="15">
        <v>4071</v>
      </c>
      <c r="C113" s="16" t="s">
        <v>173</v>
      </c>
      <c r="D113">
        <v>4072</v>
      </c>
      <c r="E113" t="s">
        <v>174</v>
      </c>
    </row>
    <row r="114" spans="2:5">
      <c r="B114" s="15">
        <v>4091</v>
      </c>
      <c r="C114" s="16" t="s">
        <v>175</v>
      </c>
      <c r="D114">
        <v>4092</v>
      </c>
      <c r="E114" t="s">
        <v>176</v>
      </c>
    </row>
    <row r="115" spans="2:5">
      <c r="B115" s="15">
        <v>4111</v>
      </c>
      <c r="C115" s="16" t="s">
        <v>177</v>
      </c>
      <c r="D115">
        <v>4112</v>
      </c>
      <c r="E115" t="s">
        <v>178</v>
      </c>
    </row>
    <row r="116" spans="2:5">
      <c r="B116" s="15">
        <v>4131</v>
      </c>
      <c r="C116" s="16" t="s">
        <v>179</v>
      </c>
      <c r="D116">
        <v>4132</v>
      </c>
      <c r="E116" t="s">
        <v>180</v>
      </c>
    </row>
    <row r="117" spans="2:5">
      <c r="B117" s="15">
        <v>4151</v>
      </c>
      <c r="C117" s="16" t="s">
        <v>181</v>
      </c>
      <c r="D117">
        <v>4152</v>
      </c>
      <c r="E117" t="s">
        <v>182</v>
      </c>
    </row>
    <row r="118" spans="2:5">
      <c r="B118" s="15">
        <v>4171</v>
      </c>
      <c r="C118" s="16" t="s">
        <v>183</v>
      </c>
      <c r="D118">
        <v>4172</v>
      </c>
      <c r="E118" t="s">
        <v>184</v>
      </c>
    </row>
    <row r="119" spans="2:5">
      <c r="B119" s="15">
        <v>4191</v>
      </c>
      <c r="C119" s="16" t="s">
        <v>185</v>
      </c>
      <c r="D119">
        <v>4192</v>
      </c>
      <c r="E119" t="s">
        <v>186</v>
      </c>
    </row>
    <row r="120" spans="2:5">
      <c r="B120" s="15">
        <v>4211</v>
      </c>
      <c r="C120" s="16" t="s">
        <v>187</v>
      </c>
      <c r="D120">
        <v>4212</v>
      </c>
      <c r="E120" t="s">
        <v>188</v>
      </c>
    </row>
    <row r="121" spans="2:5">
      <c r="B121" s="15">
        <v>4231</v>
      </c>
      <c r="C121" s="16" t="s">
        <v>189</v>
      </c>
      <c r="D121">
        <v>4232</v>
      </c>
      <c r="E121" t="s">
        <v>190</v>
      </c>
    </row>
    <row r="122" spans="2:5">
      <c r="B122" s="15">
        <v>4251</v>
      </c>
      <c r="C122" s="16" t="s">
        <v>191</v>
      </c>
      <c r="D122">
        <v>4252</v>
      </c>
      <c r="E122" t="s">
        <v>192</v>
      </c>
    </row>
    <row r="123" spans="2:5">
      <c r="B123" s="15">
        <v>4271</v>
      </c>
      <c r="C123" s="16" t="s">
        <v>193</v>
      </c>
      <c r="D123">
        <v>4272</v>
      </c>
      <c r="E123" t="s">
        <v>194</v>
      </c>
    </row>
    <row r="124" spans="2:5">
      <c r="B124" s="15">
        <v>4291</v>
      </c>
      <c r="C124" s="16" t="s">
        <v>195</v>
      </c>
      <c r="D124">
        <v>4292</v>
      </c>
      <c r="E124" t="s">
        <v>196</v>
      </c>
    </row>
    <row r="125" spans="2:5">
      <c r="B125" s="15">
        <v>4311</v>
      </c>
      <c r="C125" s="16" t="s">
        <v>197</v>
      </c>
      <c r="D125">
        <v>4312</v>
      </c>
      <c r="E125" t="s">
        <v>198</v>
      </c>
    </row>
    <row r="126" spans="2:5">
      <c r="B126" s="15">
        <v>4331</v>
      </c>
      <c r="C126" s="16" t="s">
        <v>199</v>
      </c>
      <c r="D126">
        <v>4332</v>
      </c>
      <c r="E126" t="s">
        <v>200</v>
      </c>
    </row>
    <row r="127" spans="2:5">
      <c r="B127" s="15">
        <v>4351</v>
      </c>
      <c r="C127" s="16" t="s">
        <v>201</v>
      </c>
      <c r="D127">
        <v>4352</v>
      </c>
      <c r="E127" t="s">
        <v>202</v>
      </c>
    </row>
    <row r="128" spans="2:5">
      <c r="B128" s="15">
        <v>4371</v>
      </c>
      <c r="C128" s="16" t="s">
        <v>203</v>
      </c>
      <c r="D128">
        <v>4372</v>
      </c>
      <c r="E128" t="s">
        <v>204</v>
      </c>
    </row>
    <row r="129" spans="2:5">
      <c r="B129" s="15">
        <v>4391</v>
      </c>
      <c r="C129" s="16" t="s">
        <v>205</v>
      </c>
      <c r="D129">
        <v>4392</v>
      </c>
      <c r="E129" t="s">
        <v>206</v>
      </c>
    </row>
    <row r="130" spans="2:5">
      <c r="B130" s="15">
        <v>4411</v>
      </c>
      <c r="C130" s="16" t="s">
        <v>207</v>
      </c>
      <c r="D130">
        <v>4412</v>
      </c>
      <c r="E130" t="s">
        <v>208</v>
      </c>
    </row>
    <row r="131" spans="2:5">
      <c r="B131" s="15">
        <v>4431</v>
      </c>
      <c r="C131" s="16" t="s">
        <v>209</v>
      </c>
      <c r="D131">
        <v>4432</v>
      </c>
      <c r="E131" t="s">
        <v>210</v>
      </c>
    </row>
    <row r="132" spans="2:5">
      <c r="B132" s="15">
        <v>4451</v>
      </c>
      <c r="C132" s="16" t="s">
        <v>211</v>
      </c>
      <c r="D132">
        <v>4452</v>
      </c>
      <c r="E132" t="s">
        <v>212</v>
      </c>
    </row>
    <row r="133" spans="2:5">
      <c r="B133" s="15">
        <v>4471</v>
      </c>
      <c r="C133" s="16" t="s">
        <v>33</v>
      </c>
      <c r="D133">
        <v>4472</v>
      </c>
      <c r="E133" t="s">
        <v>35</v>
      </c>
    </row>
    <row r="134" spans="2:5">
      <c r="B134" s="15" t="s">
        <v>29</v>
      </c>
      <c r="C134" s="16" t="s">
        <v>217</v>
      </c>
    </row>
    <row r="135" spans="2:5">
      <c r="B135" s="15" t="s">
        <v>31</v>
      </c>
      <c r="C135" s="16" t="s">
        <v>218</v>
      </c>
    </row>
    <row r="136" spans="2:5">
      <c r="B136" s="15" t="s">
        <v>34</v>
      </c>
      <c r="C136" s="16" t="s">
        <v>219</v>
      </c>
    </row>
    <row r="137" spans="2:5">
      <c r="B137" s="15" t="s">
        <v>60</v>
      </c>
      <c r="C137" s="16" t="s">
        <v>220</v>
      </c>
    </row>
    <row r="138" spans="2:5">
      <c r="B138" s="15">
        <v>1012</v>
      </c>
      <c r="C138" s="16" t="s">
        <v>37</v>
      </c>
    </row>
    <row r="139" spans="2:5">
      <c r="B139" s="15">
        <v>1032</v>
      </c>
      <c r="C139" s="16" t="s">
        <v>63</v>
      </c>
    </row>
    <row r="140" spans="2:5">
      <c r="B140" s="15">
        <v>1052</v>
      </c>
      <c r="C140" s="16" t="s">
        <v>65</v>
      </c>
    </row>
    <row r="141" spans="2:5">
      <c r="B141" s="15">
        <v>1072</v>
      </c>
      <c r="C141" s="16" t="s">
        <v>67</v>
      </c>
    </row>
    <row r="142" spans="2:5">
      <c r="B142" s="15">
        <v>1112</v>
      </c>
      <c r="C142" s="16" t="s">
        <v>69</v>
      </c>
    </row>
    <row r="143" spans="2:5">
      <c r="B143" s="15">
        <v>1152</v>
      </c>
      <c r="C143" s="16" t="s">
        <v>71</v>
      </c>
    </row>
    <row r="144" spans="2:5">
      <c r="B144" s="15">
        <v>1192</v>
      </c>
      <c r="C144" s="16" t="s">
        <v>73</v>
      </c>
    </row>
    <row r="145" spans="2:3">
      <c r="B145" s="15">
        <v>1212</v>
      </c>
      <c r="C145" s="16" t="s">
        <v>75</v>
      </c>
    </row>
    <row r="146" spans="2:3">
      <c r="B146" s="15">
        <v>1232</v>
      </c>
      <c r="C146" s="16" t="s">
        <v>77</v>
      </c>
    </row>
    <row r="147" spans="2:3">
      <c r="B147" s="15">
        <v>1252</v>
      </c>
      <c r="C147" s="16" t="s">
        <v>79</v>
      </c>
    </row>
    <row r="148" spans="2:3">
      <c r="B148" s="15">
        <v>1272</v>
      </c>
      <c r="C148" s="16" t="s">
        <v>81</v>
      </c>
    </row>
    <row r="149" spans="2:3">
      <c r="B149" s="15">
        <v>1292</v>
      </c>
      <c r="C149" s="16" t="s">
        <v>83</v>
      </c>
    </row>
    <row r="150" spans="2:3">
      <c r="B150" s="15">
        <v>1312</v>
      </c>
      <c r="C150" s="16" t="s">
        <v>85</v>
      </c>
    </row>
    <row r="151" spans="2:3">
      <c r="B151" s="15">
        <v>2012</v>
      </c>
      <c r="C151" s="16" t="s">
        <v>87</v>
      </c>
    </row>
    <row r="152" spans="2:3">
      <c r="B152" s="15">
        <v>2032</v>
      </c>
      <c r="C152" s="16" t="s">
        <v>89</v>
      </c>
    </row>
    <row r="153" spans="2:3">
      <c r="B153" s="15">
        <v>2052</v>
      </c>
      <c r="C153" s="16" t="s">
        <v>91</v>
      </c>
    </row>
    <row r="154" spans="2:3">
      <c r="B154" s="15">
        <v>2072</v>
      </c>
      <c r="C154" s="16" t="s">
        <v>93</v>
      </c>
    </row>
    <row r="155" spans="2:3">
      <c r="B155" s="15">
        <v>2112</v>
      </c>
      <c r="C155" s="16" t="s">
        <v>95</v>
      </c>
    </row>
    <row r="156" spans="2:3">
      <c r="B156" s="15">
        <v>2132</v>
      </c>
      <c r="C156" s="16" t="s">
        <v>97</v>
      </c>
    </row>
    <row r="157" spans="2:3">
      <c r="B157" s="15">
        <v>2152</v>
      </c>
      <c r="C157" s="16" t="s">
        <v>39</v>
      </c>
    </row>
    <row r="158" spans="2:3">
      <c r="B158" s="15">
        <v>2172</v>
      </c>
      <c r="C158" s="16" t="s">
        <v>99</v>
      </c>
    </row>
    <row r="159" spans="2:3">
      <c r="B159" s="15">
        <v>2192</v>
      </c>
      <c r="C159" s="16" t="s">
        <v>101</v>
      </c>
    </row>
    <row r="160" spans="2:3">
      <c r="B160" s="15">
        <v>2212</v>
      </c>
      <c r="C160" s="16" t="s">
        <v>103</v>
      </c>
    </row>
    <row r="161" spans="2:7">
      <c r="B161" s="15">
        <v>2232</v>
      </c>
      <c r="C161" s="16" t="s">
        <v>105</v>
      </c>
    </row>
    <row r="162" spans="2:7">
      <c r="B162" s="15">
        <v>2252</v>
      </c>
      <c r="C162" s="16" t="s">
        <v>107</v>
      </c>
    </row>
    <row r="163" spans="2:7">
      <c r="B163" s="15">
        <v>2272</v>
      </c>
      <c r="C163" s="16" t="s">
        <v>109</v>
      </c>
    </row>
    <row r="164" spans="2:7">
      <c r="B164" s="15">
        <v>2292</v>
      </c>
      <c r="C164" s="16" t="s">
        <v>111</v>
      </c>
    </row>
    <row r="165" spans="2:7">
      <c r="B165" s="15">
        <v>2312</v>
      </c>
      <c r="C165" s="16" t="s">
        <v>113</v>
      </c>
    </row>
    <row r="166" spans="2:7">
      <c r="B166" s="15">
        <v>2012</v>
      </c>
      <c r="C166" s="16" t="s">
        <v>87</v>
      </c>
    </row>
    <row r="167" spans="2:7">
      <c r="B167" s="15">
        <v>2032</v>
      </c>
      <c r="C167" s="16" t="s">
        <v>89</v>
      </c>
    </row>
    <row r="168" spans="2:7">
      <c r="B168" s="15">
        <v>2052</v>
      </c>
      <c r="C168" s="16" t="s">
        <v>91</v>
      </c>
    </row>
    <row r="169" spans="2:7">
      <c r="B169" s="15">
        <v>2072</v>
      </c>
      <c r="C169" s="16" t="s">
        <v>93</v>
      </c>
    </row>
    <row r="170" spans="2:7">
      <c r="B170" s="15">
        <v>2112</v>
      </c>
      <c r="C170" s="16" t="s">
        <v>95</v>
      </c>
    </row>
    <row r="171" spans="2:7">
      <c r="B171" s="15">
        <v>2132</v>
      </c>
      <c r="C171" s="16" t="s">
        <v>97</v>
      </c>
    </row>
    <row r="172" spans="2:7">
      <c r="B172" s="15">
        <v>2152</v>
      </c>
      <c r="C172" s="16" t="s">
        <v>39</v>
      </c>
      <c r="E172" s="100"/>
      <c r="F172" s="100"/>
      <c r="G172" s="100"/>
    </row>
    <row r="173" spans="2:7">
      <c r="B173" s="15">
        <v>2172</v>
      </c>
      <c r="C173" s="16" t="s">
        <v>99</v>
      </c>
      <c r="E173" s="100"/>
      <c r="F173" s="100"/>
      <c r="G173" s="100"/>
    </row>
    <row r="174" spans="2:7">
      <c r="B174" s="15">
        <v>2192</v>
      </c>
      <c r="C174" s="16" t="s">
        <v>101</v>
      </c>
      <c r="E174" s="100"/>
      <c r="F174" s="100"/>
      <c r="G174" s="100"/>
    </row>
    <row r="175" spans="2:7">
      <c r="B175" s="15">
        <v>2212</v>
      </c>
      <c r="C175" s="16" t="s">
        <v>103</v>
      </c>
      <c r="E175" s="100"/>
      <c r="F175" s="100"/>
      <c r="G175" s="100"/>
    </row>
    <row r="176" spans="2:7">
      <c r="B176" s="15">
        <v>2232</v>
      </c>
      <c r="C176" s="16" t="s">
        <v>105</v>
      </c>
      <c r="E176" s="100"/>
      <c r="F176" s="100"/>
      <c r="G176" s="100"/>
    </row>
    <row r="177" spans="2:7">
      <c r="B177" s="15">
        <v>2252</v>
      </c>
      <c r="C177" s="16" t="s">
        <v>107</v>
      </c>
      <c r="E177" s="100"/>
      <c r="F177" s="100"/>
      <c r="G177" s="100"/>
    </row>
    <row r="178" spans="2:7">
      <c r="B178" s="15">
        <v>2272</v>
      </c>
      <c r="C178" s="16" t="s">
        <v>109</v>
      </c>
      <c r="E178" s="100"/>
      <c r="F178" s="100"/>
      <c r="G178" s="100"/>
    </row>
    <row r="179" spans="2:7">
      <c r="B179" s="15">
        <v>2292</v>
      </c>
      <c r="C179" s="16" t="s">
        <v>111</v>
      </c>
      <c r="E179" s="100"/>
      <c r="F179" s="100"/>
      <c r="G179" s="100"/>
    </row>
    <row r="180" spans="2:7">
      <c r="B180" s="15">
        <v>2312</v>
      </c>
      <c r="C180" s="16" t="s">
        <v>113</v>
      </c>
      <c r="E180" s="100"/>
      <c r="F180" s="100"/>
      <c r="G180" s="100"/>
    </row>
    <row r="181" spans="2:7">
      <c r="B181" s="15">
        <v>3012</v>
      </c>
      <c r="C181" s="16" t="s">
        <v>115</v>
      </c>
      <c r="E181" s="100"/>
      <c r="F181" s="100"/>
      <c r="G181" s="100"/>
    </row>
    <row r="182" spans="2:7">
      <c r="B182" s="15">
        <v>3032</v>
      </c>
      <c r="C182" s="16" t="s">
        <v>41</v>
      </c>
      <c r="E182" s="100"/>
      <c r="F182" s="100"/>
      <c r="G182" s="100"/>
    </row>
    <row r="183" spans="2:7">
      <c r="B183" s="15">
        <v>3052</v>
      </c>
      <c r="C183" s="16" t="s">
        <v>117</v>
      </c>
      <c r="E183" s="100"/>
      <c r="F183" s="100"/>
      <c r="G183" s="100"/>
    </row>
    <row r="184" spans="2:7">
      <c r="B184" s="15">
        <v>3072</v>
      </c>
      <c r="C184" s="16" t="s">
        <v>119</v>
      </c>
      <c r="E184" s="100"/>
      <c r="F184" s="100"/>
      <c r="G184" s="100"/>
    </row>
    <row r="185" spans="2:7">
      <c r="B185" s="15">
        <v>3092</v>
      </c>
      <c r="C185" s="16" t="s">
        <v>121</v>
      </c>
      <c r="E185" s="100"/>
      <c r="F185" s="100"/>
      <c r="G185" s="100"/>
    </row>
    <row r="186" spans="2:7">
      <c r="B186" s="15">
        <v>3112</v>
      </c>
      <c r="C186" s="16" t="s">
        <v>123</v>
      </c>
      <c r="E186" s="100"/>
      <c r="F186" s="100"/>
      <c r="G186" s="100"/>
    </row>
    <row r="187" spans="2:7">
      <c r="B187" s="15">
        <v>3132</v>
      </c>
      <c r="C187" s="16" t="s">
        <v>125</v>
      </c>
      <c r="E187" s="100"/>
      <c r="F187" s="100"/>
      <c r="G187" s="100"/>
    </row>
    <row r="188" spans="2:7">
      <c r="B188" s="15">
        <v>3152</v>
      </c>
      <c r="C188" s="16" t="s">
        <v>127</v>
      </c>
      <c r="E188" s="100"/>
      <c r="F188" s="100"/>
      <c r="G188" s="100"/>
    </row>
    <row r="189" spans="2:7">
      <c r="B189" s="15">
        <v>3172</v>
      </c>
      <c r="C189" s="16" t="s">
        <v>129</v>
      </c>
      <c r="E189" s="100"/>
      <c r="F189" s="100"/>
      <c r="G189" s="100"/>
    </row>
    <row r="190" spans="2:7">
      <c r="B190" s="15">
        <v>3212</v>
      </c>
      <c r="C190" s="16" t="s">
        <v>131</v>
      </c>
    </row>
    <row r="191" spans="2:7">
      <c r="B191" s="15">
        <v>3232</v>
      </c>
      <c r="C191" s="16" t="s">
        <v>133</v>
      </c>
    </row>
    <row r="192" spans="2:7">
      <c r="B192" s="15">
        <v>3252</v>
      </c>
      <c r="C192" s="16" t="s">
        <v>135</v>
      </c>
    </row>
    <row r="193" spans="2:3">
      <c r="B193" s="15">
        <v>3272</v>
      </c>
      <c r="C193" s="16" t="s">
        <v>137</v>
      </c>
    </row>
    <row r="194" spans="2:3">
      <c r="B194" s="15">
        <v>3292</v>
      </c>
      <c r="C194" s="16" t="s">
        <v>139</v>
      </c>
    </row>
    <row r="195" spans="2:3">
      <c r="B195" s="15">
        <v>3312</v>
      </c>
      <c r="C195" s="16" t="s">
        <v>55</v>
      </c>
    </row>
    <row r="196" spans="2:3">
      <c r="B196" s="15">
        <v>3332</v>
      </c>
      <c r="C196" s="16" t="s">
        <v>57</v>
      </c>
    </row>
    <row r="197" spans="2:3">
      <c r="B197" s="15">
        <v>3352</v>
      </c>
      <c r="C197" s="16" t="s">
        <v>141</v>
      </c>
    </row>
    <row r="198" spans="2:3">
      <c r="B198" s="15">
        <v>3372</v>
      </c>
      <c r="C198" s="16" t="s">
        <v>143</v>
      </c>
    </row>
    <row r="199" spans="2:3">
      <c r="B199" s="15">
        <v>3392</v>
      </c>
      <c r="C199" s="16" t="s">
        <v>145</v>
      </c>
    </row>
    <row r="200" spans="2:3">
      <c r="B200" s="15">
        <v>3412</v>
      </c>
      <c r="C200" s="16" t="s">
        <v>147</v>
      </c>
    </row>
    <row r="201" spans="2:3">
      <c r="B201" s="15">
        <v>3432</v>
      </c>
      <c r="C201" s="16" t="s">
        <v>149</v>
      </c>
    </row>
    <row r="202" spans="2:3">
      <c r="B202" s="15">
        <v>3452</v>
      </c>
      <c r="C202" s="16" t="s">
        <v>151</v>
      </c>
    </row>
    <row r="203" spans="2:3">
      <c r="B203" s="15">
        <v>3472</v>
      </c>
      <c r="C203" s="16" t="s">
        <v>153</v>
      </c>
    </row>
    <row r="204" spans="2:3">
      <c r="B204" s="15">
        <v>3492</v>
      </c>
      <c r="C204" s="16" t="s">
        <v>155</v>
      </c>
    </row>
    <row r="205" spans="2:3">
      <c r="B205" s="15">
        <v>3512</v>
      </c>
      <c r="C205" s="16" t="s">
        <v>157</v>
      </c>
    </row>
    <row r="206" spans="2:3">
      <c r="B206" s="15">
        <v>3532</v>
      </c>
      <c r="C206" s="16" t="s">
        <v>159</v>
      </c>
    </row>
    <row r="207" spans="2:3">
      <c r="B207" s="15">
        <v>3552</v>
      </c>
      <c r="C207" s="16" t="s">
        <v>161</v>
      </c>
    </row>
    <row r="208" spans="2:3">
      <c r="B208" s="15">
        <v>3572</v>
      </c>
      <c r="C208" s="16" t="s">
        <v>163</v>
      </c>
    </row>
    <row r="209" spans="2:3">
      <c r="B209" s="15">
        <v>3592</v>
      </c>
      <c r="C209" s="16" t="s">
        <v>165</v>
      </c>
    </row>
    <row r="210" spans="2:3">
      <c r="B210" s="15">
        <v>3612</v>
      </c>
      <c r="C210" s="16" t="s">
        <v>167</v>
      </c>
    </row>
    <row r="211" spans="2:3">
      <c r="B211" s="15">
        <v>3012</v>
      </c>
      <c r="C211" s="16" t="s">
        <v>115</v>
      </c>
    </row>
    <row r="212" spans="2:3">
      <c r="B212" s="15">
        <v>3032</v>
      </c>
      <c r="C212" s="16" t="s">
        <v>41</v>
      </c>
    </row>
    <row r="213" spans="2:3">
      <c r="B213" s="15">
        <v>3052</v>
      </c>
      <c r="C213" s="16" t="s">
        <v>117</v>
      </c>
    </row>
    <row r="214" spans="2:3">
      <c r="B214" s="15">
        <v>3072</v>
      </c>
      <c r="C214" s="16" t="s">
        <v>119</v>
      </c>
    </row>
    <row r="215" spans="2:3">
      <c r="B215" s="15">
        <v>3092</v>
      </c>
      <c r="C215" s="16" t="s">
        <v>121</v>
      </c>
    </row>
    <row r="216" spans="2:3">
      <c r="B216" s="15">
        <v>3112</v>
      </c>
      <c r="C216" s="16" t="s">
        <v>123</v>
      </c>
    </row>
    <row r="217" spans="2:3">
      <c r="B217" s="15">
        <v>3132</v>
      </c>
      <c r="C217" s="16" t="s">
        <v>125</v>
      </c>
    </row>
    <row r="218" spans="2:3">
      <c r="B218" s="15">
        <v>3152</v>
      </c>
      <c r="C218" s="16" t="s">
        <v>127</v>
      </c>
    </row>
    <row r="219" spans="2:3">
      <c r="B219" s="15">
        <v>3172</v>
      </c>
      <c r="C219" s="16" t="s">
        <v>129</v>
      </c>
    </row>
    <row r="220" spans="2:3">
      <c r="B220" s="15">
        <v>3212</v>
      </c>
      <c r="C220" s="16" t="s">
        <v>131</v>
      </c>
    </row>
    <row r="221" spans="2:3">
      <c r="B221" s="15">
        <v>3232</v>
      </c>
      <c r="C221" s="16" t="s">
        <v>133</v>
      </c>
    </row>
    <row r="222" spans="2:3">
      <c r="B222" s="15">
        <v>3252</v>
      </c>
      <c r="C222" s="16" t="s">
        <v>135</v>
      </c>
    </row>
    <row r="223" spans="2:3">
      <c r="B223" s="15">
        <v>3272</v>
      </c>
      <c r="C223" s="16" t="s">
        <v>137</v>
      </c>
    </row>
    <row r="224" spans="2:3">
      <c r="B224" s="15">
        <v>3292</v>
      </c>
      <c r="C224" s="16" t="s">
        <v>139</v>
      </c>
    </row>
    <row r="225" spans="2:3">
      <c r="B225" s="15">
        <v>3312</v>
      </c>
      <c r="C225" s="16" t="s">
        <v>55</v>
      </c>
    </row>
    <row r="226" spans="2:3">
      <c r="B226" s="15">
        <v>3332</v>
      </c>
      <c r="C226" s="16" t="s">
        <v>57</v>
      </c>
    </row>
    <row r="227" spans="2:3">
      <c r="B227" s="15">
        <v>3352</v>
      </c>
      <c r="C227" s="16" t="s">
        <v>141</v>
      </c>
    </row>
    <row r="228" spans="2:3">
      <c r="B228" s="15">
        <v>3372</v>
      </c>
      <c r="C228" s="16" t="s">
        <v>143</v>
      </c>
    </row>
    <row r="229" spans="2:3">
      <c r="B229" s="15">
        <v>3392</v>
      </c>
      <c r="C229" s="16" t="s">
        <v>145</v>
      </c>
    </row>
    <row r="230" spans="2:3">
      <c r="B230" s="15">
        <v>3412</v>
      </c>
      <c r="C230" s="16" t="s">
        <v>147</v>
      </c>
    </row>
    <row r="231" spans="2:3">
      <c r="B231" s="15">
        <v>3432</v>
      </c>
      <c r="C231" s="16" t="s">
        <v>149</v>
      </c>
    </row>
    <row r="232" spans="2:3">
      <c r="B232" s="15">
        <v>3452</v>
      </c>
      <c r="C232" s="16" t="s">
        <v>151</v>
      </c>
    </row>
    <row r="233" spans="2:3">
      <c r="B233" s="15">
        <v>3472</v>
      </c>
      <c r="C233" s="16" t="s">
        <v>153</v>
      </c>
    </row>
    <row r="234" spans="2:3">
      <c r="B234" s="15">
        <v>3492</v>
      </c>
      <c r="C234" s="16" t="s">
        <v>168</v>
      </c>
    </row>
    <row r="235" spans="2:3">
      <c r="B235" s="15">
        <v>3512</v>
      </c>
      <c r="C235" s="16" t="s">
        <v>157</v>
      </c>
    </row>
    <row r="236" spans="2:3">
      <c r="B236" s="15">
        <v>3532</v>
      </c>
      <c r="C236" s="16" t="s">
        <v>159</v>
      </c>
    </row>
    <row r="237" spans="2:3">
      <c r="B237" s="15">
        <v>3552</v>
      </c>
      <c r="C237" s="16" t="s">
        <v>161</v>
      </c>
    </row>
    <row r="238" spans="2:3">
      <c r="B238" s="15">
        <v>3572</v>
      </c>
      <c r="C238" s="16" t="s">
        <v>163</v>
      </c>
    </row>
    <row r="239" spans="2:3">
      <c r="B239" s="15">
        <v>3592</v>
      </c>
      <c r="C239" s="16" t="s">
        <v>165</v>
      </c>
    </row>
    <row r="240" spans="2:3">
      <c r="B240" s="15">
        <v>3612</v>
      </c>
      <c r="C240" s="16" t="s">
        <v>167</v>
      </c>
    </row>
    <row r="241" spans="2:3">
      <c r="B241" s="15">
        <v>4012</v>
      </c>
      <c r="C241" s="16" t="s">
        <v>61</v>
      </c>
    </row>
    <row r="242" spans="2:3">
      <c r="B242" s="15">
        <v>4032</v>
      </c>
      <c r="C242" s="16" t="s">
        <v>170</v>
      </c>
    </row>
    <row r="243" spans="2:3">
      <c r="B243" s="15">
        <v>4052</v>
      </c>
      <c r="C243" s="16" t="s">
        <v>172</v>
      </c>
    </row>
    <row r="244" spans="2:3">
      <c r="B244" s="15">
        <v>4072</v>
      </c>
      <c r="C244" s="16" t="s">
        <v>174</v>
      </c>
    </row>
    <row r="245" spans="2:3">
      <c r="B245" s="15">
        <v>4092</v>
      </c>
      <c r="C245" s="16" t="s">
        <v>176</v>
      </c>
    </row>
    <row r="246" spans="2:3">
      <c r="B246" s="15">
        <v>4112</v>
      </c>
      <c r="C246" s="16" t="s">
        <v>178</v>
      </c>
    </row>
    <row r="247" spans="2:3">
      <c r="B247" s="15">
        <v>4132</v>
      </c>
      <c r="C247" s="16" t="s">
        <v>180</v>
      </c>
    </row>
    <row r="248" spans="2:3">
      <c r="B248" s="15">
        <v>4152</v>
      </c>
      <c r="C248" s="16" t="s">
        <v>182</v>
      </c>
    </row>
    <row r="249" spans="2:3">
      <c r="B249" s="15">
        <v>4172</v>
      </c>
      <c r="C249" s="16" t="s">
        <v>184</v>
      </c>
    </row>
    <row r="250" spans="2:3">
      <c r="B250" s="15">
        <v>4192</v>
      </c>
      <c r="C250" s="16" t="s">
        <v>186</v>
      </c>
    </row>
    <row r="251" spans="2:3">
      <c r="B251" s="15">
        <v>4212</v>
      </c>
      <c r="C251" s="16" t="s">
        <v>188</v>
      </c>
    </row>
    <row r="252" spans="2:3">
      <c r="B252" s="15">
        <v>4232</v>
      </c>
      <c r="C252" s="16" t="s">
        <v>190</v>
      </c>
    </row>
    <row r="253" spans="2:3">
      <c r="B253" s="15">
        <v>4252</v>
      </c>
      <c r="C253" s="16" t="s">
        <v>192</v>
      </c>
    </row>
    <row r="254" spans="2:3">
      <c r="B254" s="15">
        <v>4272</v>
      </c>
      <c r="C254" s="16" t="s">
        <v>194</v>
      </c>
    </row>
    <row r="255" spans="2:3">
      <c r="B255" s="15">
        <v>4292</v>
      </c>
      <c r="C255" s="16" t="s">
        <v>196</v>
      </c>
    </row>
    <row r="256" spans="2:3">
      <c r="B256" s="15">
        <v>4312</v>
      </c>
      <c r="C256" s="16" t="s">
        <v>198</v>
      </c>
    </row>
    <row r="257" spans="2:3">
      <c r="B257" s="15">
        <v>4332</v>
      </c>
      <c r="C257" s="16" t="s">
        <v>200</v>
      </c>
    </row>
    <row r="258" spans="2:3">
      <c r="B258" s="15">
        <v>4352</v>
      </c>
      <c r="C258" s="16" t="s">
        <v>202</v>
      </c>
    </row>
    <row r="259" spans="2:3">
      <c r="B259" s="15">
        <v>4372</v>
      </c>
      <c r="C259" s="16" t="s">
        <v>204</v>
      </c>
    </row>
    <row r="260" spans="2:3">
      <c r="B260" s="15">
        <v>4392</v>
      </c>
      <c r="C260" s="16" t="s">
        <v>206</v>
      </c>
    </row>
    <row r="261" spans="2:3">
      <c r="B261" s="15">
        <v>4412</v>
      </c>
      <c r="C261" s="16" t="s">
        <v>208</v>
      </c>
    </row>
    <row r="262" spans="2:3">
      <c r="B262" s="15">
        <v>4432</v>
      </c>
      <c r="C262" s="16" t="s">
        <v>210</v>
      </c>
    </row>
    <row r="263" spans="2:3">
      <c r="B263" s="15">
        <v>4452</v>
      </c>
      <c r="C263" s="16" t="s">
        <v>212</v>
      </c>
    </row>
    <row r="264" spans="2:3">
      <c r="B264" s="15">
        <v>4472</v>
      </c>
      <c r="C264" s="16" t="s">
        <v>35</v>
      </c>
    </row>
    <row r="265" spans="2:3">
      <c r="B265" s="20">
        <v>12</v>
      </c>
      <c r="C265" s="16" t="s">
        <v>217</v>
      </c>
    </row>
    <row r="266" spans="2:3">
      <c r="B266" s="20">
        <v>32</v>
      </c>
      <c r="C266" s="16" t="s">
        <v>218</v>
      </c>
    </row>
    <row r="267" spans="2:3">
      <c r="B267" s="20">
        <v>52</v>
      </c>
      <c r="C267" s="16" t="s">
        <v>219</v>
      </c>
    </row>
    <row r="268" spans="2:3">
      <c r="B268" s="20">
        <v>72</v>
      </c>
      <c r="C268" s="16" t="s">
        <v>220</v>
      </c>
    </row>
  </sheetData>
  <pageMargins left="0.7" right="0.7" top="0.75" bottom="0.75" header="0.3" footer="0.3"/>
  <ignoredErrors>
    <ignoredError sqref="B3:B6 D3:D6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DASHBOARD</vt:lpstr>
      <vt:lpstr>INPUT</vt:lpstr>
      <vt:lpstr>PROCESSING</vt:lpstr>
      <vt:lpstr>OUTPUT_1</vt:lpstr>
      <vt:lpstr>OUTPUT_2</vt:lpstr>
      <vt:lpstr>Subjects</vt:lpstr>
      <vt:lpstr>codesub</vt:lpstr>
      <vt:lpstr>GPA</vt:lpstr>
      <vt:lpstr>ledger</vt:lpstr>
      <vt:lpstr>Name</vt:lpstr>
      <vt:lpstr>OUTPUT_1!Print_Area</vt:lpstr>
      <vt:lpstr>SymbolNo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Suraj Bhattarai; Lekhnath Acharya</dc:creator>
  <cp:lastModifiedBy>ASUS</cp:lastModifiedBy>
  <cp:lastPrinted>2022-01-30T03:04:23Z</cp:lastPrinted>
  <dcterms:created xsi:type="dcterms:W3CDTF">2021-07-13T08:32:31Z</dcterms:created>
  <dcterms:modified xsi:type="dcterms:W3CDTF">2022-06-11T06:40:35Z</dcterms:modified>
</cp:coreProperties>
</file>